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MinhChau\VSCode\python\System_Sematic_Search_Truyen\results\evaluation\"/>
    </mc:Choice>
  </mc:AlternateContent>
  <xr:revisionPtr revIDLastSave="0" documentId="13_ncr:1_{D9D47203-7556-4AF0-B93E-24054119D59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Sheet1!$A$1:$A$1814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08" i="1" l="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29" i="1"/>
  <c r="S830"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786" i="1"/>
  <c r="S787" i="1"/>
  <c r="S788" i="1"/>
  <c r="S789" i="1"/>
  <c r="S790" i="1"/>
  <c r="S791" i="1"/>
  <c r="S792" i="1"/>
  <c r="S793" i="1"/>
  <c r="S794" i="1"/>
  <c r="S795" i="1"/>
  <c r="S796" i="1"/>
  <c r="S797" i="1"/>
  <c r="S798" i="1"/>
  <c r="S799" i="1"/>
  <c r="S800" i="1"/>
  <c r="S801" i="1"/>
  <c r="S802" i="1"/>
  <c r="S803" i="1"/>
  <c r="S785" i="1"/>
  <c r="O62" i="1"/>
</calcChain>
</file>

<file path=xl/sharedStrings.xml><?xml version="1.0" encoding="utf-8"?>
<sst xmlns="http://schemas.openxmlformats.org/spreadsheetml/2006/main" count="20743" uniqueCount="1342">
  <si>
    <t>query_id</t>
  </si>
  <si>
    <t>query</t>
  </si>
  <si>
    <t>query_type</t>
  </si>
  <si>
    <t>story_id</t>
  </si>
  <si>
    <t>title</t>
  </si>
  <si>
    <t>genre</t>
  </si>
  <si>
    <t>tags</t>
  </si>
  <si>
    <t>description</t>
  </si>
  <si>
    <t>status</t>
  </si>
  <si>
    <t>chapters</t>
  </si>
  <si>
    <t>url</t>
  </si>
  <si>
    <t>bm25_rank</t>
  </si>
  <si>
    <t>bm25_score</t>
  </si>
  <si>
    <t>semantic_rank</t>
  </si>
  <si>
    <t>semantic_score</t>
  </si>
  <si>
    <t>retrieved_by</t>
  </si>
  <si>
    <t>relevance</t>
  </si>
  <si>
    <t>evaluator</t>
  </si>
  <si>
    <t>notes</t>
  </si>
  <si>
    <t>Q001</t>
  </si>
  <si>
    <t>Tìm truyện tiên hiệp</t>
  </si>
  <si>
    <t>Nguyên Lai Ta Là Tu Tiên Đại Lão [Convert]</t>
  </si>
  <si>
    <t>Tiên Hiệp</t>
  </si>
  <si>
    <t>Điềm Đạm, Vô Địch, Góc nhìn nam, Cổ Điển Tiên Hiệp</t>
  </si>
  <si>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</si>
  <si>
    <t>Hoàn thành</t>
  </si>
  <si>
    <t>https://sitruyencv.com/story/9821-nguyen-lai-ta-la-tu-tien-dai-lao-convert</t>
  </si>
  <si>
    <t>Both</t>
  </si>
  <si>
    <t>Gia Tộc Tu Tiên: Ta Lấy Luân Hồi Chuyển Thế Tìm Trường Sinh [Convert]</t>
  </si>
  <si>
    <t>Cơ Trí, Trọng Sinh, Góc nhìn nam, Huyễn Tưởng Tu Tiên</t>
  </si>
  <si>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</si>
  <si>
    <t>Đang ra</t>
  </si>
  <si>
    <t>https://sitruyencv.com/story/19982-gia-toc-tu-tien-ta-lay-luan-hoi-chuyen-the-tim-truong-sinh-convert</t>
  </si>
  <si>
    <t>BM25</t>
  </si>
  <si>
    <t>Phi Thăng, Theo Thiên Địa Hỗn Độn Quyết Bắt Đầu [Convert]</t>
  </si>
  <si>
    <t>Điềm Đạm, Góc nhìn nam, Cổ Điển Tiên Hiệp, Tùy Thân</t>
  </si>
  <si>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</si>
  <si>
    <t>https://sitruyencv.com/story/17519-phi-thang-theo-thien-dia-hon-don-quyet-bat-dau-convert</t>
  </si>
  <si>
    <t>Semantic</t>
  </si>
  <si>
    <t>Trường sinh thận trọng lộ [Dịch]</t>
  </si>
  <si>
    <t>Tiên Hiệp Kỳ Duyên</t>
  </si>
  <si>
    <t>Góc nhìn nam</t>
  </si>
  <si>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</si>
  <si>
    <t>https://sitruyencv.com/story/20789-truong-sinh-than-trong-lo-dich</t>
  </si>
  <si>
    <t>Kinh Hồng [Dịch]</t>
  </si>
  <si>
    <t>Tiên Hiệp, Huyền Huyễn, Lịch Sử Quân Sự, Cổ Đại, Tiên Hiệp Kỳ Duyên, Cổ Đại Ngôn Tình</t>
  </si>
  <si>
    <t>Tiên Hiệp, Trọng Sinh, Đông Phương Huyền Huyễn, Góc nhìn nam, Huyễn Tưởng Tu Tiên, Cổ Điển Tiên Hiệp, Lịch Sử Quân Sự</t>
  </si>
  <si>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</si>
  <si>
    <t>https://sitruyencv.com/story/19317-kinh-hong-dich</t>
  </si>
  <si>
    <t>Một Xà Đắc Đạo [Dịch]</t>
  </si>
  <si>
    <t>Tiên Hiệp, Điền Văn, Tiên Hiệp Kỳ Duyên, Huyền Nghi Thần Quái</t>
  </si>
  <si>
    <t>Tiên Hiệp, Cá Mặn, Điền Viên, Góc nhìn nữ, Cổ Điển Tiên Hiệp, Du Hí Dị Giới, Tiên Lữ Kỳ Duyên, Dị Tộc Luyến Tình, Chư Thiên Vạn Giới, Dân Gian Truyền Thuyết, Chữa Lành, Nhân Thú</t>
  </si>
  <si>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</si>
  <si>
    <t>https://sitruyencv.com/story/20259-mot-xa-dac-dao-dich</t>
  </si>
  <si>
    <t>Mắt Mù Thần Y, Bắt Đầu Gặp Được Thánh Nữ Báo Ân [Convert]</t>
  </si>
  <si>
    <t>Kiếm Hiệp</t>
  </si>
  <si>
    <t>Điềm Đạm, Phàm Nhân, Góc nhìn nam, Võ Hiệp Huyễn Tưởng</t>
  </si>
  <si>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</si>
  <si>
    <t>https://sitruyencv.com/story/4828-mat-mu-than-y-bat-dau-gap-duoc-thanh-nu-bao-an-convert</t>
  </si>
  <si>
    <t>Bắt Đầu: Ta Có Trọng Đồng Tiên Cốt Hỗn Độn Đạo Thể [Convert]</t>
  </si>
  <si>
    <t>Huyền Huyễn</t>
  </si>
  <si>
    <t>Nhiệt Huyết, Vô Địch, Đông Phương Huyền Huyễn, Góc nhìn nam</t>
  </si>
  <si>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</si>
  <si>
    <t>https://sitruyencv.com/story/15013-bat-dau-ta-co-trong-dong-tien-cot-hon-don-dao-the-convert</t>
  </si>
  <si>
    <t>Mạnh Nhất Gia Tộc, Từ Khai Chi Tán Diệp Bắt Đầu [Convert]</t>
  </si>
  <si>
    <t>Cơ Trí, Đông Phương Huyền Huyễn, Góc nhìn nam, Xây Dựng Thế Lực</t>
  </si>
  <si>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</si>
  <si>
    <t>https://sitruyencv.com/story/13514-manh-nhat-gia-toc-tu-khai-chi-tan-diep-bat-dau-convert</t>
  </si>
  <si>
    <t>Hồng Mông Bá Thể Quyết [Dịch]</t>
  </si>
  <si>
    <t>Tiên Hiệp, Huyền Huyễn</t>
  </si>
  <si>
    <t>Tiên Hiệp, Trọng Sinh, Đông Phương Huyền Huyễn, Góc nhìn nam, Huyễn Tưởng Tu Tiên, Thần Thoại Tu Chân, Cổ Điển Tiên Hiệp</t>
  </si>
  <si>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</si>
  <si>
    <t>https://sitruyencv.com/story/18937-hong-mong-ba-the-quyet-dich</t>
  </si>
  <si>
    <t>Vừa Thành Phong Hào Đấu La, Đạo Lữ Hệ Thống Tìm Tới Cửa! [Convert]</t>
  </si>
  <si>
    <t>Đồng Nhân</t>
  </si>
  <si>
    <t>Điềm Đạm, Xuyên Qua, Góc nhìn nam, Dị Thế Đại Lục</t>
  </si>
  <si>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</si>
  <si>
    <t>https://sitruyencv.com/story/14198-vua-thanh-phong-hao-dau-la-dao-lu-he-thong-tim-toi-cua-convert</t>
  </si>
  <si>
    <t>Vạn Thú Thế Gia Quật Khởi [Convert]</t>
  </si>
  <si>
    <t>Cơ Trí, Góc nhìn nam, Huyễn Tưởng Tu Tiên, Xây Dựng Thế Lực</t>
  </si>
  <si>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</si>
  <si>
    <t>https://sitruyencv.com/story/13674-van-thu-the-gia-quat-khoi-convert</t>
  </si>
  <si>
    <t>Phàm Nhân Tu Tiên: Ta Trăm Kiếp Luân Hồi Thành Đạo Tổ [Convert]</t>
  </si>
  <si>
    <t>Điềm Đạm, Trọng Sinh, Góc nhìn nam, Huyễn Tưởng Tu Tiên</t>
  </si>
  <si>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</si>
  <si>
    <t>https://sitruyencv.com/story/19173-pham-nhan-tu-tien-ta-tram-kiep-luan-hoi-thanh-dao-to-convert</t>
  </si>
  <si>
    <t>Chiến Thần Cuồng Tiêu Chi Chư Thiên Vạn Giới [Convert]</t>
  </si>
  <si>
    <t>Nhiệt Huyết, Vô Địch, Góc nhìn nam, Chư Thiên Vạn Giới</t>
  </si>
  <si>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</si>
  <si>
    <t>https://sitruyencv.com/story/18885-chien-than-cuong-tieu-chi-chu-thien-van-gioi-convert</t>
  </si>
  <si>
    <t>Ta Tại Tu Tiên Thế Giới Mở Nông Trường [Convert]</t>
  </si>
  <si>
    <t>Nhiệt Huyết, Góc nhìn nam, Cổ Điển Tiên Hiệp, Hệ Thống</t>
  </si>
  <si>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</si>
  <si>
    <t>https://sitruyencv.com/story/12297-ta-tai-tu-tien-the-gioi-mo-nong-truong-convert</t>
  </si>
  <si>
    <t>Quỷ Đạo Tiên Lộ [Dịch]</t>
  </si>
  <si>
    <t>Tiên Hiệp, Linh Dị, Huyền Nghi Thần Quái</t>
  </si>
  <si>
    <t>Lãnh Khốc, Cơ Trí, Phàm Nhân, Quỷ Bí Huyền Nghi, Góc nhìn nam, Hắc Ám Huyễn Tưởng, Tu Chân Văn Minh, Thần Thoại Tu Chân, Cổ Điển Tiên Hiệp, Xuyên Không, Thám Hiểm Sinh Tồn</t>
  </si>
  <si>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</si>
  <si>
    <t>https://sitruyencv.com/story/20803-quy-dao-tien-lo-dich</t>
  </si>
  <si>
    <t>Bách Thế Phi Thăng [Dịch]</t>
  </si>
  <si>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</si>
  <si>
    <t>https://sitruyencv.com/story/39-bach-the-phi-thang-dich</t>
  </si>
  <si>
    <t>Thời Trung Cổ Truyền Kỳ Thợ Săn Quỷ [Convert]</t>
  </si>
  <si>
    <t>Tây Phương Kỳ Huyễn</t>
  </si>
  <si>
    <t>Góc nhìn nam, Tây Phương Kỳ Huyễn</t>
  </si>
  <si>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</si>
  <si>
    <t>https://sitruyencv.com/story/171-thoi-trung-co-truyen-ky-tho-san-quy-convert</t>
  </si>
  <si>
    <t>Q002</t>
  </si>
  <si>
    <t>Tìm truyện huyền huyễn</t>
  </si>
  <si>
    <t>Công tử đẹp trai quá [Dịch]</t>
  </si>
  <si>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</si>
  <si>
    <t>https://sitruyencv.com/story/20773-cong-tu-dep-trai-qua-dich</t>
  </si>
  <si>
    <t>Conan: Suy Luận? Không, Ta Trực Tiếp Tốc Thông [Convert]</t>
  </si>
  <si>
    <t>Góc nhìn nam, Hệ Thống</t>
  </si>
  <si>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</si>
  <si>
    <t>https://sitruyencv.com/story/13681-conan-suy-luan-khong-ta-truc-tiep-toc-thong-convert</t>
  </si>
  <si>
    <t>Thần Bí Khôi Phục: Nếu [Convert]</t>
  </si>
  <si>
    <t>Đồng Nhân, Huyền Nghi, Linh Dị</t>
  </si>
  <si>
    <t>Lãnh Khốc, Quỷ Bí Huyền Nghi, Góc nhìn nam, Tiến Hóa Biến Dị, Đô Thị Sinh Hoạt, Diễn Sinh Đồng Nhân</t>
  </si>
  <si>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</si>
  <si>
    <t>https://sitruyencv.com/story/18703-than-bi-khoi-phuc-neu-convert</t>
  </si>
  <si>
    <t>Cửu Tinh Bá Thể Quyết [Convert]</t>
  </si>
  <si>
    <t>Vô Sỉ, Vả Mặt, Đông Phương Huyền Huyễn, Góc nhìn nam</t>
  </si>
  <si>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</si>
  <si>
    <t>https://sitruyencv.com/story/12068-cuu-tinh-ba-the-quyet-convert</t>
  </si>
  <si>
    <t>Tông Môn Để Cho Ta Thông Gia, Ta Tu Thành Võ Đạo Tuyệt Đỉnh [Convert]</t>
  </si>
  <si>
    <t>Vô Sỉ, Xuyên Qua, Đông Phương Huyền Huyễn, Góc nhìn nam</t>
  </si>
  <si>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</si>
  <si>
    <t>https://sitruyencv.com/story/12764-tong-mon-de-cho-ta-thong-gia-ta-tu-thanh-vo-dao-tuyet-dinh-convert</t>
  </si>
  <si>
    <t>Tu Tiên: Trùng Sinh Dị Giới Chế Tạo Tối Cường Tông Môn [Convert]</t>
  </si>
  <si>
    <t>Nhiệt Huyết, Phàm Nhân, Đông Phương Huyền Huyễn, Góc nhìn nam</t>
  </si>
  <si>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</si>
  <si>
    <t>https://sitruyencv.com/story/16838-tu-tien-trung-sinh-di-gioi-che-tao-toi-cuong-tong-mon-convert</t>
  </si>
  <si>
    <t>Ngự Thú Tiến Hóa Thương [Convert]</t>
  </si>
  <si>
    <t>Nhiệt Huyết, Ngự Thú, Góc nhìn nam, Dị Thế Đại Lục</t>
  </si>
  <si>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</si>
  <si>
    <t>https://sitruyencv.com/story/11918-ngu-thu-tien-hoa-thuong-convert</t>
  </si>
  <si>
    <t>Kinh Tiêu [Convert]</t>
  </si>
  <si>
    <t>Lãnh Khốc, Phàm Nhân, Đông Phương Huyền Huyễn, Góc nhìn nam</t>
  </si>
  <si>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</si>
  <si>
    <t>https://sitruyencv.com/story/13237-kinh-tieu-convert</t>
  </si>
  <si>
    <t>Thần Bí Khôi Phục : Từ Quỷ Tranh Vẽ Bắt Đầu [Convert]</t>
  </si>
  <si>
    <t>Huyền Nghi, Huyền Nghi Thần Quái</t>
  </si>
  <si>
    <t>Quỷ Bí Huyền Nghi, Góc nhìn nam, Diễn Sinh Đồng Nhân</t>
  </si>
  <si>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</si>
  <si>
    <t>https://sitruyencv.com/story/18262-than-bi-khoi-phuc-tu-quy-tranh-ve-bat-dau-convert</t>
  </si>
  <si>
    <t>Bắt Đầu Thành Hợp Hoan Tông Lô Đỉnh? Ta Càng Chết Càng Mạnh! [Convert]</t>
  </si>
  <si>
    <t>Vô Sỉ, Vô Địch, Đông Phương Huyền Huyễn, Góc nhìn nam</t>
  </si>
  <si>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</si>
  <si>
    <t>https://sitruyencv.com/story/19625-bat-dau-thanh-hop-hoan-tong-lo-dinh-ta-cang-chet-cang-manh-convert</t>
  </si>
  <si>
    <t>Bắt Đầu Mười Liên Rút Sau Đó Vô Địch [Convert]</t>
  </si>
  <si>
    <t>Góc nhìn nam, Dị Thế Đại Lục</t>
  </si>
  <si>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</si>
  <si>
    <t>https://sitruyencv.com/story/9820-bat-dau-muoi-lien-rut-sau-do-vo-dich-convert</t>
  </si>
  <si>
    <t>Mệnh Còn Lại Hai Năm, Bảy Cái Tỷ Tỷ Quỳ Cầu Ta Tha Thứ [Convert]</t>
  </si>
  <si>
    <t>Đô Thị</t>
  </si>
  <si>
    <t>Điềm Đạm, Sảng Văn, Góc nhìn nam, Đô Thị Sinh Hoạt</t>
  </si>
  <si>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</si>
  <si>
    <t>https://sitruyencv.com/story/15839-menh-con-lai-hai-nam-bay-cai-ty-ty-quy-cau-ta-tha-thu-convert</t>
  </si>
  <si>
    <t>Võng Du: Ta Ở Trong Game Làm Quan Sai [Convert]</t>
  </si>
  <si>
    <t>Võng Du</t>
  </si>
  <si>
    <t>Nhiệt Huyết, Góc nhìn nam, Hư Nghĩ Võng Du, Tùy Thân</t>
  </si>
  <si>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</si>
  <si>
    <t>https://sitruyencv.com/story/17785-vong-du-ta-o-trong-game-lam-quan-sai-convert</t>
  </si>
  <si>
    <t>Từ Gia Phả Bắt Đầu Xây Dựng Trường Sinh Thế Gia [Dịch]</t>
  </si>
  <si>
    <t>Huyền Huyễn, Điền Văn</t>
  </si>
  <si>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</si>
  <si>
    <t>https://sitruyencv.com/story/20353-tu-gia-pha-bat-dau-xay-dung-truong-sinh-the-gia-dich</t>
  </si>
  <si>
    <t>Q003</t>
  </si>
  <si>
    <t>Tìm truyện đô thị</t>
  </si>
  <si>
    <t>Phát Sóng Trực Tiếp Cực Phẩm Âm Dương Sư [Convert]</t>
  </si>
  <si>
    <t>Điềm Đạm, Đô Thị Dị Năng</t>
  </si>
  <si>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</si>
  <si>
    <t>https://sitruyencv.com/story/541-phat-song-truc-tiep-cuc-pham-am-duong-su-convert</t>
  </si>
  <si>
    <t>Bậc Thầy Đóng Vai: Bắt Đầu Từ Chuyên Gia Chia Tay [Dịch]</t>
  </si>
  <si>
    <t>Góc nhìn nam, Đô Thị Sinh Hoạt, Thiên Tài</t>
  </si>
  <si>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</si>
  <si>
    <t>https://sitruyencv.com/story/20777-bac-thay-dong-vai-bat-dau-tu-chuyen-gia-chia-tay-dich</t>
  </si>
  <si>
    <t>Tên Minh Tinh Này Rất Muốn Về Hưu [Convert]</t>
  </si>
  <si>
    <t>Điềm Đạm, Xuyên Qua, Góc nhìn nam, Đô Thị Sinh Hoạt</t>
  </si>
  <si>
    <t>Mọi người: "Không! Ngươi không nghĩ!" ... . . .</t>
  </si>
  <si>
    <t>https://sitruyencv.com/story/3280-ten-minh-tinh-nay-rat-muon-ve-huu-convert</t>
  </si>
  <si>
    <t>Liếm Cẩu Phản Diện Chỉ Nghĩ Cẩu , Nữ Chính Không Theo Sáo Lộ Đi [Convert]</t>
  </si>
  <si>
    <t>Nhẹ Nhàng, Góc nhìn nam</t>
  </si>
  <si>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</si>
  <si>
    <t>https://sitruyencv.com/story/16145-liem-cau-phan-dien-chi-nghi-cau-nu-chinh-khong-theo-sao-lo-di-convert</t>
  </si>
  <si>
    <t>Diễn Kẻ Nghiện Giống Như Thật ? Tra Hắn [Convert]</t>
  </si>
  <si>
    <t>Điềm Đạm, Góc nhìn nam, Đô Thị Sinh Hoạt, Hệ Thống</t>
  </si>
  <si>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</si>
  <si>
    <t>https://sitruyencv.com/story/16102-dien-ke-nghien-giong-nhu-that-tra-han-convert</t>
  </si>
  <si>
    <t>Trùng Sinh Trở Lại Năm 1991 Làm Nhà Giàu Nhất [Dịch]</t>
  </si>
  <si>
    <t>Đô Thị, Light Novel, Ẩm Thực, Cận Đại, Điền Văn, Ngôn Tình, Lãng Mạn Thanh Xuân</t>
  </si>
  <si>
    <t>Nhẹ Nhàng, Trọng Sinh, Dưỡng Thành, Điền Viên, Góc nhìn nam, Kinh Thương Chủng Điền, Đô Thị Sinh Hoạt, Thương Chiến Chức Tràng, Yêu Đương Thường Ngày, Gia Đình, Xuyên Không, Gương Vỡ Lại Lành, Làm Giàu</t>
  </si>
  <si>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</si>
  <si>
    <t>https://sitruyencv.com/story/20595-trung-sinh-tro-lai-nam-1991-lam-nha-giau-nhat-dich</t>
  </si>
  <si>
    <t>Toàn Dân Hôn Phối: Tốt Nghiệp Phát Lão Bà, Chơi Hỏng Long Nương [Convert]</t>
  </si>
  <si>
    <t>Ngu Ngốc, Xuyên Qua, Cao Võ Thế Giới, Góc nhìn nam</t>
  </si>
  <si>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</si>
  <si>
    <t>https://sitruyencv.com/story/17650-toan-dan-hon-phoi-tot-nghiep-phat-lao-ba-choi-hong-long-nuong-convert</t>
  </si>
  <si>
    <t>Sau Ly Hôn, Họ Lại Theo Đuổi Tôi [Dịch]</t>
  </si>
  <si>
    <t>Đô Thị, Sủng</t>
  </si>
  <si>
    <t>Vả Mặt, Góc nhìn nam, Xuyên Không</t>
  </si>
  <si>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</si>
  <si>
    <t>https://sitruyencv.com/story/19710-sau-ly-hon-ho-lai-theo-duoi-toi-dich</t>
  </si>
  <si>
    <t>Bạn Gái Hờ Của Tôi Đang Dốc Sức Phòng Thủ Trước Sự Tấn Công Của Các Cô Ấy [Dịch]</t>
  </si>
  <si>
    <t>Thanh Xuân Vườn Trường, Điền Văn, Ngôn Tình, Lãng Mạn Thanh Xuân</t>
  </si>
  <si>
    <t>Vô Sỉ, Phàm Nhân, Dưỡng Thành, Ngọt Sủng, Vả Mặt, Sảng Văn, Góc nhìn nam, Đô Thị Sinh Hoạt, Yêu Đương Thường Ngày, Học Viện, Harem, Hậu Cung, Vạn Người Mê, Ngược Nữ, Dưỡng Thê, Thanh Xuân Vườn Trường</t>
  </si>
  <si>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</si>
  <si>
    <t>https://sitruyencv.com/story/20632-ban-gai-ho-cua-toi-dang-doc-suc-phong-thu-truoc-su-tan-cong-cua-cac-co-ay-dich</t>
  </si>
  <si>
    <t>Thân Phận Mua Sắm Hệ Thống? Ta Bắt Đầu Cuồng Vay Online Đen [Convert]</t>
  </si>
  <si>
    <t>Vô Sỉ, Xuyên Qua, Cao Võ Thế Giới, Góc nhìn nam</t>
  </si>
  <si>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</si>
  <si>
    <t>https://sitruyencv.com/story/17649-than-phan-mua-sam-he-thong-ta-bat-dau-cuong-vay-online-den-convert</t>
  </si>
  <si>
    <t>Đại Minh Đã Mất, Ngươi Bảo Ta Nhậm Chức Cẩm Y Vệ? [Convert]</t>
  </si>
  <si>
    <t>Cơ Trí, Đô Thị Dị Năng, Góc nhìn nam, Hệ Thống</t>
  </si>
  <si>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</si>
  <si>
    <t>https://sitruyencv.com/story/19521-dai-minh-da-mat-nguoi-bao-ta-nham-chuc-cam-y-ve-convert</t>
  </si>
  <si>
    <t>Bình Nguyên Cầu Sinh: Ta Mỗi Ngày Đổi Mới Một Cái Tình Báo Nhỏ [Convert]</t>
  </si>
  <si>
    <t>Thiết Huyết, Đô Thị Dị Năng, Góc nhìn nam, Toàn Dân</t>
  </si>
  <si>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</si>
  <si>
    <t>https://sitruyencv.com/story/13084-binh-nguyen-cau-sinh-ta-moi-ngay-doi-moi-mot-cai-tinh-bao-nho-convert</t>
  </si>
  <si>
    <t>Vai Ác: Bắt Đầu Đánh Mặt Chiến Thần, Nữ Tổng Giám Đốc Giúp Ta Xuất Khí [Dịch]</t>
  </si>
  <si>
    <t>Đô Thị, Hệ Thống, Xuyên Sách</t>
  </si>
  <si>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</si>
  <si>
    <t>https://sitruyencv.com/story/20532-vai-ac-bat-dau-danh-mat-chien-than-nu-tong-giam-doc-giup-ta-xuat-khi-dich</t>
  </si>
  <si>
    <t>Trở Về 84: Từ Thu Đồng Nát Bắt Đầu Làm Giàu [Convert]</t>
  </si>
  <si>
    <t>Nhiệt Huyết, Trọng Sinh, Góc nhìn nam, Đô Thị Sinh Hoạt</t>
  </si>
  <si>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</si>
  <si>
    <t>https://sitruyencv.com/story/10142-tro-ve-84-tu-thu-dong-nat-bat-dau-lam-giau-convert</t>
  </si>
  <si>
    <t>Ta Câu Thông Tương Lai, Giết Xuyên Tận Thế Này! [Convert]</t>
  </si>
  <si>
    <t>Huyền Nghi</t>
  </si>
  <si>
    <t>Thiết Huyết, Đô Thị Dị Năng, Góc nhìn nam, Hệ Thống</t>
  </si>
  <si>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</si>
  <si>
    <t>https://sitruyencv.com/story/17792-ta-cau-thong-tuong-lai-giet-xuyen-tan-the-nay-convert</t>
  </si>
  <si>
    <t>Cùng Nữ Chủ Thuê Nhà Ở Chung Về Sau, Ta Nhìn Thấy Ẩn Tàng Tin Tức [Convert]</t>
  </si>
  <si>
    <t>Nhiệt Huyết, Sảng Văn, Góc nhìn nam, Đô Thị Sinh Hoạt</t>
  </si>
  <si>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</si>
  <si>
    <t>https://sitruyencv.com/story/17349-cung-nu-chu-thue-nha-o-chung-ve-sau-ta-nhin-thay-an-tang-tin-tuc-convert</t>
  </si>
  <si>
    <t>Q004</t>
  </si>
  <si>
    <t>Tìm truyện đồng nhân</t>
  </si>
  <si>
    <t>Konoha Người Sưu Tập, Bắt Đầu Thu Được Uzumaki Tiên Nhân Thể [Convert]</t>
  </si>
  <si>
    <t>Nhẹ Nhàng, Góc nhìn nam, Diễn Sinh Đồng Nhân, Hệ Thống</t>
  </si>
  <si>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</si>
  <si>
    <t>https://sitruyencv.com/story/16388-konoha-nguoi-suu-tap-bat-dau-thu-duoc-uzumaki-tien-nhan-the-convert</t>
  </si>
  <si>
    <t>Những Ngày Sinh Sống Tại Hogwarts [Convert]</t>
  </si>
  <si>
    <t>Đồng Nhân, Tây Phương Kỳ Huyễn, Thanh Xuân Vườn Trường, Hiện Đại Ngôn Tình, Lãng Mạn Thanh Xuân</t>
  </si>
  <si>
    <t>Cơ Trí, Xuyên Qua, Ngọt Sủng, Góc nhìn nam, Tây Phương Kỳ Huyễn, Diễn Sinh Đồng Nhân</t>
  </si>
  <si>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</si>
  <si>
    <t>https://sitruyencv.com/story/19282-nhung-ngay-sinh-song-tai-hogwarts-convert</t>
  </si>
  <si>
    <t>Nhất Thống Nhẫn Giới, Từ Giác Tỉnh Mangekyou Bắt Đầu [Convert]</t>
  </si>
  <si>
    <t>Nhiệt Huyết, Góc nhìn nam, Thiên Tài, Diễn Sinh Đồng Nhân</t>
  </si>
  <si>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</si>
  <si>
    <t>https://sitruyencv.com/story/16546-nhat-thong-nhan-gioi-tu-giac-tinh-mangekyou-bat-dau-convert</t>
  </si>
  <si>
    <t>Kinh Dị Nhạc Viên [Convert]</t>
  </si>
  <si>
    <t>Huyền Nghi, Hệ Thống, Dị Năng, Linh Dị, Trinh Thám, Huyền Nghi Thần Quái</t>
  </si>
  <si>
    <t>Góc nhìn nam, Du Hí Dị Giới, Thế Giới Tương Lai, Tiến Hóa Biến Dị, Chư Thiên Vạn Giới, Diễn Sinh Đồng Nhân</t>
  </si>
  <si>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</si>
  <si>
    <t>https://sitruyencv.com/story/18746-kinh-di-nhac-vien-convert</t>
  </si>
  <si>
    <t>One Piece: Ta Đã Nứt Ra, Nhưng Biến Dị Thiên Phú Siêu Cường [Convert]</t>
  </si>
  <si>
    <t>Cơ Trí, Xuyên Qua, Góc nhìn nam, Diễn Sinh Đồng Nhân</t>
  </si>
  <si>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</si>
  <si>
    <t>https://sitruyencv.com/story/14073-one-piece-ta-da-nut-ra-nhung-bien-di-thien-phu-sieu-cuong-convert</t>
  </si>
  <si>
    <t>Toàn Dân Đầu Tư Thời Đại: Chỉ Có Ta Biết Nhân Vật Chính [Convert]</t>
  </si>
  <si>
    <t>Nhẹ Nhàng, Góc nhìn nam, Chư Thiên Vạn Giới, Toàn Dân</t>
  </si>
  <si>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</si>
  <si>
    <t>https://sitruyencv.com/story/15905-toan-dan-dau-tu-thoi-dai-chi-co-ta-biet-nhan-vat-chinh-convert</t>
  </si>
  <si>
    <t>Đấu La: Từ Võ Hồn Thời Chi Trùng Bắt Đầu [Convert]</t>
  </si>
  <si>
    <t>Xuyên Qua, Góc nhìn nam</t>
  </si>
  <si>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</si>
  <si>
    <t>https://sitruyencv.com/story/16211-dau-la-tu-vo-hon-thoi-chi-trung-bat-dau-convert</t>
  </si>
  <si>
    <t>Ta, Đạo Sĩ, Người Khoác Nho Sam, Vụng Trộm Phát Dục [Convert]</t>
  </si>
  <si>
    <t>Điềm Đạm, Phàm Nhân, Góc nhìn nam, Huyễn Tưởng Tu Tiên</t>
  </si>
  <si>
    <t>【 Không phải vô não sảng văn + không hệ thống,,, cẩn thận khi đi vào!!! 】【 Huyền huyễn + kiếm tu + đạo sĩ 】 【 Giản Giới 】: Chu Huyền: Ta như đắc đạo, thì gà chó lên trời!!!</t>
  </si>
  <si>
    <t>https://sitruyencv.com/story/13481-ta-dao-si-nguoi-khoac-nho-sam-vung-trom-phat-duc-convert</t>
  </si>
  <si>
    <t>Hokage Chi Vụ Nổ Hạt Nhân Deidara [Convert]</t>
  </si>
  <si>
    <t>Nhiệt Huyết, Sảng Văn, Góc nhìn nam, Chư Thiên Vạn Giới</t>
  </si>
  <si>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</si>
  <si>
    <t>https://sitruyencv.com/story/16114-hokage-chi-vu-no-hat-nhan-deidara-convert</t>
  </si>
  <si>
    <t>Đa Tử Đa Phúc, Ta Hiến Dâng Chính Mình Cho Tông Môn [Dịch]</t>
  </si>
  <si>
    <t>Sảng Văn, Đông Phương Huyền Huyễn, Góc nhìn nam, Harem</t>
  </si>
  <si>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</si>
  <si>
    <t>https://sitruyencv.com/story/20764-da-tu-da-phuc-ta-hien-dang-chinh-minh-cho-tong-mon-dich</t>
  </si>
  <si>
    <t>Q005</t>
  </si>
  <si>
    <t>Tìm truyện hệ thống</t>
  </si>
  <si>
    <t>Tối Cường Hệ Thống [Convert]</t>
  </si>
  <si>
    <t>Ta chính là mạnh nhất. Main bựa , truyện hài nhiều đoạn cười không nhặt được mồm luôn.</t>
  </si>
  <si>
    <t>https://sitruyencv.com/story/2385-toi-cuong-he-thong-convert</t>
  </si>
  <si>
    <t>Nạn Đói Năm, Ta Dùng Mỗi Ngày Tình Báo, Nạp Thiếp Ăn Thịt [Convert]</t>
  </si>
  <si>
    <t>Dã Sử</t>
  </si>
  <si>
    <t>Cơ Trí, Góc nhìn nam, Lịch Sử Quân Sự, Hệ Thống</t>
  </si>
  <si>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</si>
  <si>
    <t>https://sitruyencv.com/story/13970-nan-doi-nam-ta-dung-moi-ngay-tinh-bao-nap-thiep-an-thit-convert</t>
  </si>
  <si>
    <t>Hệ Thống: Để Ngươi Giúp Đồ Đệ Mạnh Lên, Không Có Để Ngươi Vô Địch [Dịch]</t>
  </si>
  <si>
    <t>Tiên Hiệp, Huyền Huyễn, Hệ Thống</t>
  </si>
  <si>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</si>
  <si>
    <t>https://sitruyencv.com/story/20772-he-thong-de-nguoi-giup-do-de-manh-len-khong-co-de-nguoi-vo-dich-dich</t>
  </si>
  <si>
    <t>Thần Tuyển Lạc Viên [Dịch]</t>
  </si>
  <si>
    <t>Đô Thị, Võng Du, Hệ Thống, Dị Năng</t>
  </si>
  <si>
    <t>Lãnh Khốc, Vô Hạn, Sảng Văn, Góc nhìn nam, Hắc Ám Huyễn Tưởng, Tiến Hóa Biến Dị, Toàn Dân, Thám Hiểm Sinh Tồn</t>
  </si>
  <si>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</si>
  <si>
    <t>https://sitruyencv.com/story/19019-than-tuyen-lac-vien-dich</t>
  </si>
  <si>
    <t>Ta Nộp Hệ Thống Cho Lão Tổ, Vô Tình Biến Cả Gia Tộc Thành Tiên [Dịch]</t>
  </si>
  <si>
    <t>Tiên Hiệp, Huyền Huyễn, Hệ Thống, Cổ Đại</t>
  </si>
  <si>
    <t>Trọng Sinh, Góc nhìn nam, Thần Thoại Tu Chân, Cổ Điển Tiên Hiệp, Xuyên Không, Hệ Thống</t>
  </si>
  <si>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</si>
  <si>
    <t>https://sitruyencv.com/story/18422-ta-nop-he-thong-cho-lao-to-vo-tinh-bien-ca-gia-toc-thanh-tien-dich</t>
  </si>
  <si>
    <t>Sinh Hoạt Hệ Thần Hào [Convert]</t>
  </si>
  <si>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</si>
  <si>
    <t>https://sitruyencv.com/story/17133-sinh-hoat-he-than-hao-convert</t>
  </si>
  <si>
    <t>Vạn Lần Hoàn Trả, Lão Phu Tuổi Già Đi Làm Liếm Cẩu [Dịch]</t>
  </si>
  <si>
    <t>Góc nhìn nam, Harem, Xuyên Không, Hệ Thống</t>
  </si>
  <si>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</si>
  <si>
    <t>https://sitruyencv.com/story/20650-van-lan-hoan-tra-lao-phu-tuoi-gia-di-lam-liem-cau-dich</t>
  </si>
  <si>
    <t>Theo Nuốt Riêng Ngàn Vạn Ức Liếm Cẩu Kim Bắt Đầu Làm Thần Hào [Convert]</t>
  </si>
  <si>
    <t>Nhẹ Nhàng, Góc nhìn nam, Đô Thị Sinh Hoạt, Hệ Thống</t>
  </si>
  <si>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</si>
  <si>
    <t>https://sitruyencv.com/story/12662-theo-nuot-rieng-ngan-van-uc-liem-cau-kim-bat-dau-lam-than-hao-convert</t>
  </si>
  <si>
    <t>Bắt Đầu Bất Hủ Đại Đế, Chế Tạo Vạn Cổ Tiên Tông [Convert]</t>
  </si>
  <si>
    <t>Vô Sỉ, Đông Phương Huyền Huyễn, Góc nhìn nam, Hệ Thống</t>
  </si>
  <si>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</si>
  <si>
    <t>https://sitruyencv.com/story/10730-bat-dau-bat-hu-dai-de-che-tao-van-co-tien-tong-convert</t>
  </si>
  <si>
    <t>Nhật ký của Ninh Thư pháo hôi [Dịch]</t>
  </si>
  <si>
    <t>Tiên Hiệp, Huyền Huyễn, Huyền Nghi, Hệ Thống, Xuyên Sách, Dị Năng, Nữ Cường, Nữ Phụ, Trinh Thám, Huyền Huyễn Ngôn Tình, Tiên Hiệp Kỳ Duyên</t>
  </si>
  <si>
    <t>Góc nhìn nữ, Xuyên Nhanh</t>
  </si>
  <si>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</si>
  <si>
    <t>https://sitruyencv.com/story/19312-nhat-ky-cua-ninh-thu-phao-hoi-dich</t>
  </si>
  <si>
    <t>Q006</t>
  </si>
  <si>
    <t>Tìm truyện dã sử</t>
  </si>
  <si>
    <t>Minh Mạt Biên Quân: Chế Tạo Hỏa Khí Tàn Sát Bát Kỳ [Convert]</t>
  </si>
  <si>
    <t>Nhiệt Huyết, Xuyên Qua, Góc nhìn nam, Giá Không Lịch Sử</t>
  </si>
  <si>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</si>
  <si>
    <t>https://sitruyencv.com/story/19505-minh-mat-bien-quan-che-tao-hoa-khi-tan-sat-bat-ky-convert</t>
  </si>
  <si>
    <t>Đại Minh: Bắt Đầu Cứu Người Đáng Giết [Convert]</t>
  </si>
  <si>
    <t>Cơ Trí, Xuyên Qua, Góc nhìn nam, Giá Không Lịch Sử</t>
  </si>
  <si>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</si>
  <si>
    <t>https://sitruyencv.com/story/19472-dai-minh-bat-dau-cuu-nguoi-dang-giet-convert</t>
  </si>
  <si>
    <t>Tam Quốc: Ngôn Xuất Pháp Tùy, Tiệt Hồ Vớ Đen Hà Thái Hậu [Convert]</t>
  </si>
  <si>
    <t>Giảo Hoạt, Xuyên Qua, Góc nhìn nam, Giá Không Lịch Sử</t>
  </si>
  <si>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</si>
  <si>
    <t>https://sitruyencv.com/story/13094-tam-quoc-ngon-xuat-phap-tuy-tiet-ho-vo-den-ha-thai-hau-convert</t>
  </si>
  <si>
    <t>Tam Quốc: Tào Gia Bạo Quân, Bắt Đầu Tru Diệt Tư Mã Ý [Convert]</t>
  </si>
  <si>
    <t>Thiết Huyết, Góc nhìn nam, Xây Dựng Thế Lực, Giá Không Lịch Sử</t>
  </si>
  <si>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</si>
  <si>
    <t>https://sitruyencv.com/story/4203-tam-quoc-tao-gia-bao-quan-bat-dau-tru-diet-tu-ma-y-convert</t>
  </si>
  <si>
    <t>Tần Lại [Dịch]</t>
  </si>
  <si>
    <t>Dã Sử, Lịch Sử Quân Sự, Xuyên Sách, Cổ Đại</t>
  </si>
  <si>
    <t>Nhiệt Huyết, Thiết Huyết, Cơ Trí, Xuyên Qua, Góc nhìn nam, Lịch Sử Quân Sự, Lịch Sử Quan Trường, Xây Dựng Thế Lực</t>
  </si>
  <si>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</si>
  <si>
    <t>https://sitruyencv.com/story/18583-tan-lai-dich</t>
  </si>
  <si>
    <t>Nữ Hiệp Xin Dừng Tay [Convert]</t>
  </si>
  <si>
    <t>Vô Sỉ, Góc nhìn nam, Vương Triều Tranh Bá</t>
  </si>
  <si>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</si>
  <si>
    <t>Tạm dừng</t>
  </si>
  <si>
    <t>https://sitruyencv.com/story/16201-nu-hiep-xin-dung-tay-convert</t>
  </si>
  <si>
    <t>Tam Quốc: Bắt Đầu Liền Cho Tào Tháo Spoiler [Convert]</t>
  </si>
  <si>
    <t>Cơ Trí, Xuyên Qua, Góc nhìn nam, Vương Triều Tranh Bá</t>
  </si>
  <si>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</si>
  <si>
    <t>https://sitruyencv.com/story/5049-tam-quoc-bat-dau-lien-cho-tao-thao-spoiler-convert</t>
  </si>
  <si>
    <t>Đa Tử Đa Phúc, Bắt Đầu Liền Đưa Tuyệt Mỹ Lão Bà [Convert]</t>
  </si>
  <si>
    <t>Nhiệt Huyết, Góc nhìn nam, Vương Triều Tranh Bá, Hệ Thống</t>
  </si>
  <si>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</si>
  <si>
    <t>https://sitruyencv.com/story/13739-da-tu-da-phuc-bat-dau-lien-dua-tuyet-my-lao-ba-convert</t>
  </si>
  <si>
    <t>Bắt Đầu Bị Trục Xuất Vương Phủ: Triệu Hoán Tuyết Đại Long Kỵ [Convert]</t>
  </si>
  <si>
    <t>Thiết Huyết, Vô Địch, Vương Triều Tranh Bá</t>
  </si>
  <si>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</si>
  <si>
    <t>https://sitruyencv.com/story/1097-bat-dau-bi-truc-xuat-vuong-phu-trieu-hoan-tuyet-dai-long-ky-convert</t>
  </si>
  <si>
    <t>Q007</t>
  </si>
  <si>
    <t>Tìm truyện huyền nghi</t>
  </si>
  <si>
    <t>Tất Cả Theo Cẩm Y Vệ Bắt Đầu [Dịch]</t>
  </si>
  <si>
    <t>Kiếm Hiệp, Hệ Thống, Huyền Nghi Thần Quái</t>
  </si>
  <si>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</si>
  <si>
    <t>https://sitruyencv.com/story/20775-tat-ca-theo-cam-y-ve-bat-dau-dich</t>
  </si>
  <si>
    <t>Ta Hóa Thân Người Chết Sống Lại, Trăm Ngày Báo Thù Giết Điên [Convert]</t>
  </si>
  <si>
    <t>Thiết Huyết, Sảng Văn, Quỷ Bí Huyền Nghi, Góc nhìn nam</t>
  </si>
  <si>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</si>
  <si>
    <t>https://sitruyencv.com/story/18075-ta-hoa-than-nguoi-chet-song-lai-tram-ngay-bao-thu-giet-dien-convert</t>
  </si>
  <si>
    <t>Ta Ở Đạo Quán Lén Lút Tu Tiên [Dịch]</t>
  </si>
  <si>
    <t>Tiên Hiệp, Đô Thị, Điền Văn, Linh Dị, Tiên Hiệp Kỳ Duyên, Huyền Nghi Thần Quái</t>
  </si>
  <si>
    <t>Tiên Hiệp, Nhẹ Nhàng, Điền Viên, Góc nhìn nam, Huyễn Tưởng Tu Tiên, Cổ Điển Tiên Hiệp, Tiên Lữ Kỳ Duyên, Dân Gian Truyền Thuyết, Biến Thân</t>
  </si>
  <si>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</si>
  <si>
    <t>https://sitruyencv.com/story/20359-ta-o-dao-quan-len-lut-tu-tien-dich</t>
  </si>
  <si>
    <t>Ngoài Vòng Pháp Luật Cuồng Đồ: Cái Này Tội Phạm Ngay Cả Quỷ Cũng Không Buông Tha [Convert]</t>
  </si>
  <si>
    <t>Vô Sỉ, Quỷ Bí Huyền Nghi, Góc nhìn nam, Hệ Thống</t>
  </si>
  <si>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</si>
  <si>
    <t>https://sitruyencv.com/story/14714-ngoai-vong-phap-luat-cuong-do-cai-nay-toi-pham-ngay-ca-quy-cung-khong-buong-tha-convert</t>
  </si>
  <si>
    <t>Ai Đem Địa Phủ Câu Hồn Làm Kéo Vào Quỷ Dị Phó Bản? [Convert]</t>
  </si>
  <si>
    <t>Nhiệt Huyết, Sảng Văn, Quỷ Bí Huyền Nghi, Góc nhìn nam</t>
  </si>
  <si>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</si>
  <si>
    <t>https://sitruyencv.com/story/17972-ai-dem-dia-phu-cau-hon-lam-keo-vao-quy-di-pho-ban-convert</t>
  </si>
  <si>
    <t>Mãnh Liệt Quỷ Ký Túc Xá, Nạp Thiếp Liền Mạnh Lên [Convert]</t>
  </si>
  <si>
    <t>Điềm Đạm, Góc nhìn nam, Mạt Thế Nguy Cơ, Hệ Thống</t>
  </si>
  <si>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</si>
  <si>
    <t>https://sitruyencv.com/story/12787-manh-liet-quy-ky-tuc-xa-nap-thiep-lien-manh-len-convert</t>
  </si>
  <si>
    <t>Q008</t>
  </si>
  <si>
    <t>Tìm truyện điền văn</t>
  </si>
  <si>
    <t>Thần Cấp Mỹ Thực Gia [Dịch]</t>
  </si>
  <si>
    <t>Đô Thị, Hệ Thống, Ẩm Thực, Điền Văn</t>
  </si>
  <si>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</si>
  <si>
    <t>https://sitruyencv.com/story/20677-than-cap-my-thuc-gia-dich</t>
  </si>
  <si>
    <t>Tình Báo Đi Biển Bắt Hải Sản, Ta Mỗi Ngày Điên Cuồng Nổ Kho Kiếm Tê [Dịch]</t>
  </si>
  <si>
    <t>Đô Thị, Hệ Thống, Điền Văn</t>
  </si>
  <si>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</si>
  <si>
    <t>https://sitruyencv.com/story/20782-tinh-bao-di-bien-bat-hai-san-ta-moi-ngay-dien-cuong-no-kho-kiem-te-dich</t>
  </si>
  <si>
    <t>Sau Khi Phân Gia, Ta Săn Bắn Bắt Cá Nuôi Sống Cả Nhà Bảy Miệng Ăn [Dịch]</t>
  </si>
  <si>
    <t>Huyền Huyễn, Dã Sử, Hệ Thống, Điền Văn</t>
  </si>
  <si>
    <t>Góc nhìn nam, Xuyên Không, Hệ Thống</t>
  </si>
  <si>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</si>
  <si>
    <t>https://sitruyencv.com/story/18836-sau-khi-phan-gia-ta-san-ban-bat-ca-nuoi-song-ca-nha-bay-mieng-an-dich</t>
  </si>
  <si>
    <t>Trường Sinh Tu Tiên, Từ Thục Năng Sinh Xảo Bắt Đầu [Convert]</t>
  </si>
  <si>
    <t>Điềm Đạm, Góc nhìn nam, Huyễn Tưởng Tu Tiên, Hệ Thống</t>
  </si>
  <si>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</si>
  <si>
    <t>https://sitruyencv.com/story/19992-truong-sinh-tu-tien-tu-thuc-nang-sinh-xao-bat-dau-convert</t>
  </si>
  <si>
    <t>Giải Trí: Cùng Các Minh Tinh Sin Tồn Trên Hoang Đảo [Dịch]</t>
  </si>
  <si>
    <t>Đô Thị, Kỳ Ảo, Hệ Thống, Tây Phương Kỳ Huyễn, Biến Thân, Điền Văn, Ngôn Tình, Nữ Phụ, Hiện Đại Ngôn Tình, Lãng Mạn Thanh Xuân</t>
  </si>
  <si>
    <t>Vô Sỉ, Cơ Trí, Kiêu Ngạo, Phàm Nhân, Điền Viên, Góc nhìn nam, Kỳ Diệu Thế Giới, Đô Thị Sinh Hoạt, Yêu Đương Thường Ngày, Harem, Hậu Cung, Biến Thân, Xây Dựng Thế Lực, Ngược Nữ, Mỹ Thực, Hệ Thống, Thám Hiểm Sinh Tồn</t>
  </si>
  <si>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</si>
  <si>
    <t>https://sitruyencv.com/story/20043-giai-tri-cung-cac-minh-tinh-sin-ton-tren-hoang-dao-dich</t>
  </si>
  <si>
    <t>Q009</t>
  </si>
  <si>
    <t>Tìm truyện khoa huyễn</t>
  </si>
  <si>
    <t>Ngục Giam Tế Bào Của Ta [Dịch]</t>
  </si>
  <si>
    <t>Khoa Huyễn, Kỳ Ảo, Tây Phương Kỳ Huyễn, Dị Giới, Khoa Huyễn Không Gian</t>
  </si>
  <si>
    <t>Góc nhìn nam, Tây Phương Kỳ Huyễn, Tinh Tế Văn Minh, Tiến Hóa Biến Dị, Thời Không Xuyên Toa, Kỳ Diệu Thế Giới, Tinh Tế Luyến Ca, Chư Thiên Vạn Giới, Xuyên Không, Xây Dựng Thế Lực, Thám Hiểm Sinh Tồn</t>
  </si>
  <si>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</si>
  <si>
    <t>https://sitruyencv.com/story/20293-nguc-giam-te-bao-cua-ta-dich</t>
  </si>
  <si>
    <t>Thần Minh Máy Mô Phỏng [Convert]</t>
  </si>
  <si>
    <t>Khoa Huyễn</t>
  </si>
  <si>
    <t>Điềm Đạm, Góc nhìn nam, Tiến Hóa Biến Dị, Xây Dựng Thế Lực</t>
  </si>
  <si>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</si>
  <si>
    <t>https://sitruyencv.com/story/10433-than-minh-may-mo-phong-convert</t>
  </si>
  <si>
    <t>Tuyệt Thế Đường Môn Chi Long Phá Cửu Thiên [Convert]</t>
  </si>
  <si>
    <t>Nhiệt Huyết, Dị Thế Đại Lục</t>
  </si>
  <si>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</si>
  <si>
    <t>https://sitruyencv.com/story/268-tuyet-the-duong-mon-chi-long-pha-cuu-thien-convert</t>
  </si>
  <si>
    <t>Toàn Dân Tinh Hải Thời Đại [Convert]</t>
  </si>
  <si>
    <t>Cơ Trí, Góc nhìn nam, Chư Thiên Vạn Giới, Hệ Thống</t>
  </si>
  <si>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</si>
  <si>
    <t>https://sitruyencv.com/story/4382-toan-dan-tinh-hai-thoi-dai-convert</t>
  </si>
  <si>
    <t>Hợp Hoan Tông, Từ Giáo Huấn Cháu Gái Nuôi Bắt Đầu Trường Sinh [Convert]</t>
  </si>
  <si>
    <t>Nhiệt Huyết, Sảng Văn, Đông Phương Huyền Huyễn, Góc nhìn nam</t>
  </si>
  <si>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</si>
  <si>
    <t>https://sitruyencv.com/story/16792-hop-hoan-tong-tu-giao-huan-chau-gai-nuoi-bat-dau-truong-sinh-convert</t>
  </si>
  <si>
    <t>Ta Sáng Lập Siêu Phàm Thời Đại [Convert]</t>
  </si>
  <si>
    <t>Thiết Huyết, Góc nhìn nam, Hệ Thống</t>
  </si>
  <si>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</si>
  <si>
    <t>https://sitruyencv.com/story/17762-ta-sang-lap-sieu-pham-thoi-dai-convert</t>
  </si>
  <si>
    <t>Độc Thủ Cứ Điểm Ba Năm, Ta Thành Đêm Dài Lãnh Chúa [Convert]</t>
  </si>
  <si>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</si>
  <si>
    <t>https://sitruyencv.com/story/13886-doc-thu-cu-diem-ba-nam-ta-thanh-dem-dai-lanh-chua-convert</t>
  </si>
  <si>
    <t>Tận thế: Hệ thống của ta là Jarvis [Dịch]</t>
  </si>
  <si>
    <t>Đô Thị, Khoa Huyễn, Hệ Thống, Mạt Thế</t>
  </si>
  <si>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</si>
  <si>
    <t>https://sitruyencv.com/story/20735-tan-the-he-thong-cua-ta-la-jarvis-dich</t>
  </si>
  <si>
    <t>Ngộ Tính Nghịch Thiên, Ta Ở Hogwarts Xây Phù Không Thành [Convert]</t>
  </si>
  <si>
    <t>Nhẹ Nhàng, Góc nhìn nam, Hiện Đại Ma Pháp, Xây Dựng Thế Lực</t>
  </si>
  <si>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</si>
  <si>
    <t>https://sitruyencv.com/story/15093-ngo-tinh-nghich-thien-ta-o-hogwarts-xay-phu-khong-thanh-convert</t>
  </si>
  <si>
    <t>Người xách đèn âm dương [Dịch]</t>
  </si>
  <si>
    <t>Đô Thị, Khoa Huyễn, Võng Du, Huyền Nghi, Dị Giới, Dị Năng, Linh Dị, Mạt Thế, Huyền Nghi Thần Quái</t>
  </si>
  <si>
    <t>Cơ Trí, Quỷ Bí Huyền Nghi, Góc nhìn nam, Dị Thế Đại Lục, Hắc Ám Huyễn Tưởng, Du Hí Dị Giới, Thế Giới Tương Lai, Tiến Hóa Biến Dị, Mạt Thế Nguy Cơ, Kỳ Diệu Thế Giới, Thám Hiểm Sinh Tồn</t>
  </si>
  <si>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</si>
  <si>
    <t>https://sitruyencv.com/story/19775-nguoi-xach-den-am-duong-dich</t>
  </si>
  <si>
    <t>Q010</t>
  </si>
  <si>
    <t>Tìm truyện võng du</t>
  </si>
  <si>
    <t>Vô Thượng Tiên! [Convert]</t>
  </si>
  <si>
    <t>Cơ Trí, Đông Phương Huyền Huyễn, Góc nhìn nam, Sau Màn</t>
  </si>
  <si>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</si>
  <si>
    <t>https://sitruyencv.com/story/11464-vo-thuong-tien-convert</t>
  </si>
  <si>
    <t>Toàn Dân Lãnh Chúa: Ta Tỉ Lệ Rơi Đồ Trăm Phần Trăm [Convert]</t>
  </si>
  <si>
    <t>Điềm Đạm, Vô Địch, Góc nhìn nam, Du Hí Dị Giới</t>
  </si>
  <si>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</si>
  <si>
    <t>https://sitruyencv.com/story/15735-toan-dan-lanh-chua-ta-ti-le-roi-do-tram-phan-tram-convert</t>
  </si>
  <si>
    <t>Toàn Cầu Thăng Cấp: Ta Giác Tỉnh Trăm Vạn Thuộc Tính Điểm [Convert]</t>
  </si>
  <si>
    <t>Vô Sỉ, Cao Võ Thế Giới, Góc nhìn nam, Hệ Thống</t>
  </si>
  <si>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</si>
  <si>
    <t>https://sitruyencv.com/story/10806-toan-cau-thang-cap-ta-giac-tinh-tram-van-thuoc-tinh-diem-convert</t>
  </si>
  <si>
    <t>Mê Vụ Cầu Sinh: Lấy Dị Hoá Thuật Thăng Cấp Quỷ Dị Chi Thần [Convert]</t>
  </si>
  <si>
    <t>Góc nhìn nam, Du Hí Dị Giới</t>
  </si>
  <si>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</si>
  <si>
    <t>https://sitruyencv.com/story/12671-me-vu-cau-sinh-lay-di-hoa-thuat-thang-cap-quy-di-chi-than-convert</t>
  </si>
  <si>
    <t>Toàn Dân Lãnh Chúa, Ta Thành Phòng Ức Điểm Điểm Dày [Convert]</t>
  </si>
  <si>
    <t>Điềm Đạm, Sảng Văn, Góc nhìn nam, Nguyên Sinh Huyễn Tưởng</t>
  </si>
  <si>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</si>
  <si>
    <t>https://sitruyencv.com/story/18031-toan-dan-lanh-chua-ta-thanh-phong-uc-diem-diem-day-convert</t>
  </si>
  <si>
    <t>Tam Quốc Thần Thoại Thế Giới [Convert]</t>
  </si>
  <si>
    <t>Điềm Đạm, Góc nhìn nam, Hư Nghĩ Võng Du, Xây Dựng Thế Lực</t>
  </si>
  <si>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</si>
  <si>
    <t>https://sitruyencv.com/story/16217-tam-quoc-than-thoai-the-gioi-convert</t>
  </si>
  <si>
    <t>Song Tu Vô Địch, Ta – Nghịch Thiên Võ Thần! [Dịch]</t>
  </si>
  <si>
    <t>Vô Địch, Đông Phương Huyền Huyễn, Góc nhìn nam, Harem</t>
  </si>
  <si>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</si>
  <si>
    <t>https://sitruyencv.com/story/20472-song-tu-vo-dich-ta-nghich-thien-vo-than-dich</t>
  </si>
  <si>
    <t>Q011</t>
  </si>
  <si>
    <t>Tìm truyện linh dị</t>
  </si>
  <si>
    <t>Ta Là Đạo Sĩ Mao Sơn, Sao Toàn Là Tà Thuật [Dịch]</t>
  </si>
  <si>
    <t>Đô Thị, Huyền Huyễn, Kỳ Ảo, Tây Phương Kỳ Huyễn, Linh Dị, Huyền Nghi Thần Quái, Lãng Mạn Thanh Xuân</t>
  </si>
  <si>
    <t>Vô Địch, Sảng Văn, Đô Thị Dị Năng, Góc nhìn nam, Dị Thế Đại Lục, Du Hí Dị Giới, Tiến Hóa Biến Dị, Dị Tộc Luyến Tình, Ma Pháp Huyễn Tình, Harem, Biến Thân, Xuyên Không, Dị Năng</t>
  </si>
  <si>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</si>
  <si>
    <t>https://sitruyencv.com/story/20799-ta-la-dao-si-mao-son-sao-toan-la-ta-thuat-dich</t>
  </si>
  <si>
    <t>Sắc Phong Nữ Quỷ, Ta Thật Không Nghĩ Ngự Ba Ngàn Quỷ [Dịch]</t>
  </si>
  <si>
    <t>Tiên Hiệp, Huyền Huyễn, Linh Dị</t>
  </si>
  <si>
    <t>Đông Phương Huyền Huyễn, Huyễn Tưởng Tu Tiên, Xây Dựng Thế Lực</t>
  </si>
  <si>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</si>
  <si>
    <t>https://sitruyencv.com/story/20336-sac-phong-nu-quy-ta-that-khong-nghi-ngu-ba-ngan-quy-dich</t>
  </si>
  <si>
    <t>Q012</t>
  </si>
  <si>
    <t>Tìm truyện dị năng</t>
  </si>
  <si>
    <t>Người Tại Đấu La Viết Nhật Ký, Võ Hồn Bạch Hổ Dị Năng Khóa [Convert]</t>
  </si>
  <si>
    <t>Dị Thế Đại Lục</t>
  </si>
  <si>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</si>
  <si>
    <t>https://sitruyencv.com/story/1053-nguoi-tai-dau-la-viet-nhat-ky-vo-hon-bach-ho-di-nang-khoa-convert</t>
  </si>
  <si>
    <t>Đấu Phá: Mỗi Ngày Cơ Duyên! Các Nàng Đều Cầu Ta Chỉ Giáo [Convert]</t>
  </si>
  <si>
    <t>Vô Sỉ, Xuyên Qua, Góc nhìn nam, Dị Thế Đại Lục</t>
  </si>
  <si>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</si>
  <si>
    <t>https://sitruyencv.com/story/14103-dau-pha-moi-ngay-co-duyen-cac-nang-deu-cau-ta-chi-giao-convert</t>
  </si>
  <si>
    <t>Tận Thế Cầu Sinh: Ta Có Thể Thăng Hoa Vạn Vật [Convert]</t>
  </si>
  <si>
    <t>Thiết Huyết, Sảng Văn, Góc nhìn nam, Mạt Thế Nguy Cơ</t>
  </si>
  <si>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</si>
  <si>
    <t>https://sitruyencv.com/story/15995-tan-the-cau-sinh-ta-co-the-thang-hoa-van-vat-convert</t>
  </si>
  <si>
    <t>Q013</t>
  </si>
  <si>
    <t>Tìm truyện phản phái</t>
  </si>
  <si>
    <t>Huyền Huyễn: Ta! Thiên Mệnh Đại Nhân Vật Phản Phái [Convert]</t>
  </si>
  <si>
    <t>Nhẹ Nhàng, Đông Phương Huyền Huyễn, Góc nhìn nam, Hệ Thống</t>
  </si>
  <si>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</si>
  <si>
    <t>https://sitruyencv.com/story/15045-huyen-huyen-ta-thien-menh-dai-nhan-vat-phan-phai-convert</t>
  </si>
  <si>
    <t>Phản Phái: Kí Ức Sư Tôn Bị Phơi Bày, Đồ Đệ Nữ Đế Rơi Lệ. [Convert]</t>
  </si>
  <si>
    <t>Huyền Huyễn, Phản Phái</t>
  </si>
  <si>
    <t>Lãnh Khốc, Ngu Ngốc, Vả Mặt, Đông Phương Huyền Huyễn, Góc nhìn nam</t>
  </si>
  <si>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</si>
  <si>
    <t>https://sitruyencv.com/story/109-phan-phai-ki-uc-su-ton-bi-phoi-bay-do-de-nu-de-roi-le-convert</t>
  </si>
  <si>
    <t>Phản Phái: Ta Là Chư Thiên Chi Chủ, Tai Ách Chi Nguyên [Convert]</t>
  </si>
  <si>
    <t>Kiêu Ngạo, Đông Phương Huyền Huyễn, Góc nhìn nam, Phản Phái</t>
  </si>
  <si>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</si>
  <si>
    <t>https://sitruyencv.com/story/4646-phan-phai-ta-la-chu-thien-chi-chu-tai-ach-chi-nguyen-convert</t>
  </si>
  <si>
    <t>Ta Là Phản Phái? Nhưng Nữ Chính Đều Là Ái Phi Của Ta Mà! [Convert]</t>
  </si>
  <si>
    <t>Giảo Hoạt, Góc nhìn nam, Giá Không Lịch Sử, Phản Phái</t>
  </si>
  <si>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</si>
  <si>
    <t>https://sitruyencv.com/story/19433-ta-la-phan-phai-nhung-nu-chinh-deu-la-ai-phi-cua-ta-ma-convert</t>
  </si>
  <si>
    <t>Phản Diện Vô Đức, Phi Long Cưỡi Mặt Thì Thua Kiểu Gì? [Dịch]</t>
  </si>
  <si>
    <t>Cơ Trí, Vô Địch, Vả Mặt, Góc nhìn nam, Thiên Tài, Xuyên Không, Hệ Thống, Phản Phái</t>
  </si>
  <si>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</si>
  <si>
    <t>https://sitruyencv.com/story/20663-phan-dien-vo-duc-phi-long-cuoi-mat-thi-thua-kieu-gi-dich</t>
  </si>
  <si>
    <t>Quỷ Cốt Chứng Tiên [Convert]</t>
  </si>
  <si>
    <t>Giảo Hoạt, Góc nhìn nam, Huyễn Tưởng Tu Tiên, Phản Phái</t>
  </si>
  <si>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</si>
  <si>
    <t>https://sitruyencv.com/story/13606-quy-cot-chung-tien-convert</t>
  </si>
  <si>
    <t>Tận Thế Phản Phái: Bắt Đầu Cướp Giáo Hoa Nữ Chính [Dịch]</t>
  </si>
  <si>
    <t>Đô Thị, Hệ Thống, Phản Phái, Mạt Thế</t>
  </si>
  <si>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</si>
  <si>
    <t>https://sitruyencv.com/story/19676-tan-the-phan-phai-bat-dau-cuop-giao-hoa-nu-chinh-dich</t>
  </si>
  <si>
    <t>Cái Gì Phản Phái Nam Phụ, Rõ Ràng Là Sư Huynh Ấm Áp! [Convert]</t>
  </si>
  <si>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</si>
  <si>
    <t>https://sitruyencv.com/story/13623-cai-gi-phan-phai-nam-phu-ro-rang-la-su-huynh-am-ap-convert</t>
  </si>
  <si>
    <t>Hợp Hoan Tông, Từ Chăm Sóc Đạo Lữ Của Sư Đệ Bắt Đầu Tu Tiên [Dịch]</t>
  </si>
  <si>
    <t>Huyền Huyễn, Hệ Thống, Phản Phái, Cổ Đại, Tiên Hiệp Kỳ Duyên, Cổ Đại Ngôn Tình</t>
  </si>
  <si>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</si>
  <si>
    <t>https://sitruyencv.com/story/19064-hop-hoan-tong-tu-cham-soc-dao-lu-cua-su-de-bat-dau-tu-tien-dich</t>
  </si>
  <si>
    <t>Huyền Huyễn: Nghịch Mệnh Vạn Thế, Ta Đánh Nổ Tiên Đế! [Dịch]</t>
  </si>
  <si>
    <t>Tiên Hiệp, Huyền Huyễn, Phản Phái</t>
  </si>
  <si>
    <t>Trọng Sinh, Vả Mặt, Đông Phương Huyền Huyễn, Góc nhìn nam, Huyễn Tưởng Tu Tiên, Xuyên Nhanh, Chuyển Thế, Thiên Tài, Xây Dựng Thế Lực</t>
  </si>
  <si>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</si>
  <si>
    <t>https://sitruyencv.com/story/20734-huyen-huyen-nghich-menh-van-the-ta-danh-no-tien-de-dich</t>
  </si>
  <si>
    <t>Nghịch Thiên Tà Thần [Convert]</t>
  </si>
  <si>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</si>
  <si>
    <t>https://sitruyencv.com/story/2818-nghich-thien-ta-than-convert</t>
  </si>
  <si>
    <t>Q014</t>
  </si>
  <si>
    <t>Tìm truyện cổ đại</t>
  </si>
  <si>
    <t>Trường Sinh Cổ Đạo: Theo Luyện Ra Si Tình Cổ Bắt Đầu [Convert]</t>
  </si>
  <si>
    <t>Điềm Đạm, Xuyên Qua, Góc nhìn nam, Huyễn Tưởng Tu Tiên</t>
  </si>
  <si>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</si>
  <si>
    <t>https://sitruyencv.com/story/10538-truong-sinh-co-dao-theo-luyen-ra-si-tinh-co-bat-dau-convert</t>
  </si>
  <si>
    <t>Đại Nương Tử Chỉ Muốn Nằm Thẳng [Convert]</t>
  </si>
  <si>
    <t>Cổ Đại Ngôn Tình</t>
  </si>
  <si>
    <t>Điềm Đạm, Xuyên Qua, Cung Vi Trạch Đấu, Góc nhìn nữ</t>
  </si>
  <si>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</si>
  <si>
    <t>https://sitruyencv.com/story/12265-dai-nuong-tu-chi-muon-nam-thang-convert</t>
  </si>
  <si>
    <t>Cực Phẩm Phò Mã [Dịch]</t>
  </si>
  <si>
    <t>Cổ Đại</t>
  </si>
  <si>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</si>
  <si>
    <t>https://sitruyencv.com/story/20481-cuc-pham-pho-ma-dich</t>
  </si>
  <si>
    <t>Ta Có Một Gốc Thần Thoại Thụ [Convert]</t>
  </si>
  <si>
    <t>Nhiệt Huyết, Sảng Văn, Góc nhìn nam, Dị Thế Đại Lục</t>
  </si>
  <si>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</si>
  <si>
    <t>https://sitruyencv.com/story/17365-ta-co-mot-goc-than-thoai-thu-convert</t>
  </si>
  <si>
    <t>Dựa Vào Làm Ruộng Đi Lên Đỉnh Cao Nhân Sinh [Convert]</t>
  </si>
  <si>
    <t>Góc nhìn nam, Góc nhìn nữ, Xuyên Không</t>
  </si>
  <si>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</si>
  <si>
    <t>https://sitruyencv.com/story/2021-dua-vao-lam-ruong-di-len-dinh-cao-nhan-sinh-convert</t>
  </si>
  <si>
    <t>Q015</t>
  </si>
  <si>
    <t>Tìm truyện tiên hiệp kỳ duyên</t>
  </si>
  <si>
    <t>Từ Thăng Cấp Kiến Trúc Bắt Đầu Trường Sinh [Convert]</t>
  </si>
  <si>
    <t>Điềm Đạm, Điền Viên, Đông Phương Huyền Huyễn, Góc nhìn nam</t>
  </si>
  <si>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</si>
  <si>
    <t>https://sitruyencv.com/story/12737-tu-thang-cap-kien-truc-bat-dau-truong-sinh-convert</t>
  </si>
  <si>
    <t>Người Canh Cửa Đều Là Lục Địa Thần Tiên, Ngươi Tới Từ Hôn? [Convert]</t>
  </si>
  <si>
    <t>Điềm Đạm, Vô Địch, Góc nhìn nam, Võ Hiệp Huyễn Tưởng</t>
  </si>
  <si>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</si>
  <si>
    <t>https://sitruyencv.com/story/20021-nguoi-canh-cua-deu-la-luc-dia-than-tien-nguoi-toi-tu-hon-convert</t>
  </si>
  <si>
    <t>Phàm Nhân Tu Tiên, Bắt Đầu Nhặt Được Tụ Bảo Tiên Đỉnh [Convert]</t>
  </si>
  <si>
    <t>Cơ Trí, Phàm Nhân, Góc nhìn nam, Huyễn Tưởng Tu Tiên</t>
  </si>
  <si>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</si>
  <si>
    <t>https://sitruyencv.com/story/14011-pham-nhan-tu-tien-bat-dau-nhat-duoc-tu-bao-tien-dinh-convert</t>
  </si>
  <si>
    <t>Toàn Dân Cầu Sinh: Khởi Đầu Trăm Lần Tốc Độ Tu Luyện [Dịch]</t>
  </si>
  <si>
    <t>Đô Thị Dị Năng, Góc nhìn nam, Mạt Thế Nguy Cơ, Linh Khí Khôi Phục, Đô Thị Sinh Hoạt, Toàn Dân, Xây Dựng Thế Lực</t>
  </si>
  <si>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</si>
  <si>
    <t>https://sitruyencv.com/story/19376-toan-dan-cau-sinh-khoi-dau-tram-lan-toc-do-tu-luyen-dich</t>
  </si>
  <si>
    <t>Q016</t>
  </si>
  <si>
    <t>Tìm truyện tiên hiệp hơn 500 chương</t>
  </si>
  <si>
    <t>Trực Tiếp Thiết Kế Tử Vong [Convert]</t>
  </si>
  <si>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</si>
  <si>
    <t>https://sitruyencv.com/story/9529-truc-tiep-thiet-ke-tu-vong-convert</t>
  </si>
  <si>
    <t>Trong Thôn Có Một Tu Tiên Tông Môn [Convert]</t>
  </si>
  <si>
    <t>Điềm Đạm, Góc nhìn nam, Huyễn Tưởng Tu Tiên, Xây Dựng Thế Lực</t>
  </si>
  <si>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</si>
  <si>
    <t>https://sitruyencv.com/story/19395-trong-thon-co-mot-tu-tien-tong-mon-convert</t>
  </si>
  <si>
    <t>Lôi Linh Căn Tu Tiên, Ta Có Gấp 10 Lần Phục Chế Không Gian [Convert]</t>
  </si>
  <si>
    <t>Nhiệt Huyết, Góc nhìn nam, Huyễn Tưởng Tu Tiên, Thiên Tài</t>
  </si>
  <si>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</si>
  <si>
    <t>https://sitruyencv.com/story/13524-loi-linh-can-tu-tien-ta-co-gap-10-lan-phuc-che-khong-gian-convert</t>
  </si>
  <si>
    <t>Ma Tu Trọng Sinh, Mở Màn Nhặt Được Một Hành Tinh Zombie [Dịch]</t>
  </si>
  <si>
    <t>Sảng Văn, Góc nhìn nam</t>
  </si>
  <si>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</si>
  <si>
    <t>https://sitruyencv.com/story/20648-ma-tu-trong-sinh-mo-man-nhat-duoc-mot-hanh-tinh-zombie-dich</t>
  </si>
  <si>
    <t>Q017</t>
  </si>
  <si>
    <t>Tìm truyện đô thị trạng thái đã hoàn thành</t>
  </si>
  <si>
    <t>Bắt Đầu Kém Chút Bị Ăn, May Mắn Ta Có Thể Dời Đi Mặt Trái Trạng Thái [Convert]</t>
  </si>
  <si>
    <t>Cơ Trí, Đông Phương Huyền Huyễn, Góc nhìn nam, Hệ Thống</t>
  </si>
  <si>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</si>
  <si>
    <t>https://sitruyencv.com/story/11553-bat-dau-kem-chut-bi-an-may-man-ta-co-the-doi-di-mat-trai-trang-thai-convert</t>
  </si>
  <si>
    <t>Cái Gì?! Giấy Nháp Của Ta Trở Thành Cơ Mật Quốc Gia Rồi [Convert]</t>
  </si>
  <si>
    <t>Cơ Trí, Vô Địch, Đô Thị Dị Năng, Góc nhìn nam</t>
  </si>
  <si>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</si>
  <si>
    <t>https://sitruyencv.com/story/19530-cai-gi-giay-nhap-cua-ta-tro-thanh-co-mat-quoc-gia-roi-convert</t>
  </si>
  <si>
    <t>Nơi Ẩn Núp Thuyết Tiến Hoá [Convert]</t>
  </si>
  <si>
    <t>Nhiệt Huyết, Sảng Văn, Góc nhìn nam, Tiến Hóa Biến Dị</t>
  </si>
  <si>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</si>
  <si>
    <t>https://sitruyencv.com/story/16928-noi-an-nup-thuyet-tien-hoa-convert</t>
  </si>
  <si>
    <t>Cao Khảo Sau Đó, Ta Lại Bị Quốc Gia Sss Cấp Mã Hóa [Convert]</t>
  </si>
  <si>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</si>
  <si>
    <t>https://sitruyencv.com/story/14998-cao-khao-sau-do-ta-lai-bi-quoc-gia-sss-cap-ma-hoa-convert</t>
  </si>
  <si>
    <t>Không Có Tiền Về Nhà Ăn Tết? Phát Cái Hồng Bao Vạn Lần Hoàn Lại [Convert]</t>
  </si>
  <si>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</si>
  <si>
    <t>https://sitruyencv.com/story/17914-khong-co-tien-ve-nha-an-tet-phat-cai-hong-bao-van-lan-hoan-lai-convert</t>
  </si>
  <si>
    <t>Xuyên Qua Sáu Số Không: Ta Có Một Cái Vạn Năng Nông Trường [Convert]</t>
  </si>
  <si>
    <t>Nhiệt Huyết, Góc nhìn nam, Đô Thị Sinh Hoạt, Xuyên Nhanh</t>
  </si>
  <si>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</si>
  <si>
    <t>https://sitruyencv.com/story/17487-xuyen-qua-sau-so-khong-ta-co-mot-cai-van-nang-nong-truong-convert</t>
  </si>
  <si>
    <t>Người Ở Tu Tiên Giới, Lại Cho Ta Hệ Thống Đô Thị Thần Hào? [Convert]</t>
  </si>
  <si>
    <t>Cơ Trí, Góc nhìn nam, Huyễn Tưởng Tu Tiên, Hệ Thống</t>
  </si>
  <si>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</si>
  <si>
    <t>https://sitruyencv.com/story/19111-nguoi-o-tu-tien-gioi-lai-cho-ta-he-thong-do-thi-than-hao-convert</t>
  </si>
  <si>
    <t>Bắt Đầu Chớp Nhoáng Kết Hôn Với Chủ Nhiệm, Trời Giáng Tài Sản Nghìn Tỷ [Convert]</t>
  </si>
  <si>
    <t>Cơ Trí, Góc nhìn nam, Đô Thị Sinh Hoạt, Hệ Thống</t>
  </si>
  <si>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</si>
  <si>
    <t>https://sitruyencv.com/story/19836-bat-dau-chop-nhoang-ket-hon-voi-chu-nhiem-troi-giang-tai-san-nghin-ty-convert</t>
  </si>
  <si>
    <t>Quá Tốt Rồi, Là Biến Thái Hàng Xóm, Chúng Ta Không Cứu Nổi [Convert]</t>
  </si>
  <si>
    <t>Vô Sỉ, Đô Thị Dị Năng, Góc nhìn nam, Hệ Thống</t>
  </si>
  <si>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</si>
  <si>
    <t>https://sitruyencv.com/story/12674-qua-tot-roi-la-bien-thai-hang-xom-chung-ta-khong-cuu-noi-convert</t>
  </si>
  <si>
    <t>Quan Trường: Ta Viết Lại Nhân Sinh Kịch Bản [Convert]</t>
  </si>
  <si>
    <t>Trọng Sinh, Góc nhìn nam</t>
  </si>
  <si>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</si>
  <si>
    <t>https://sitruyencv.com/story/16395-quan-truong-ta-viet-lai-nhan-sinh-kich-ban-convert</t>
  </si>
  <si>
    <t>Nhà Ta Thế Hệ Cường Đạo, Tiểu Tử Ngươi Thi Đậu Trạng Nguyên [Dịch]</t>
  </si>
  <si>
    <t>Huyền Huyễn, Cổ Đại</t>
  </si>
  <si>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</si>
  <si>
    <t>https://sitruyencv.com/story/20392-nha-ta-the-he-cuong-dao-tieu-tu-nguoi-thi-dau-trang-nguyen-dich</t>
  </si>
  <si>
    <t>Q018</t>
  </si>
  <si>
    <t>Tìm truyện hiện đại ngôn tình trạng thái đang ra</t>
  </si>
  <si>
    <t>70 Quân Hôn Binh Vương Đầu Quả Tim Sủng [Convert]</t>
  </si>
  <si>
    <t>Hiện Đại Ngôn Tình</t>
  </si>
  <si>
    <t>Nhẹ Nhàng, Góc nhìn nữ, Hào Môn Thế Gia, Xuyên Không</t>
  </si>
  <si>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</si>
  <si>
    <t>https://sitruyencv.com/story/8979-70-quan-hon-binh-vuong-dau-qua-tim-sung-convert</t>
  </si>
  <si>
    <t>Phượng Trì Sinh Xuân [Convert]</t>
  </si>
  <si>
    <t>Điềm Đạm, Phàm Nhân, Góc nhìn nữ, Vương Triều Tranh Bá</t>
  </si>
  <si>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</si>
  <si>
    <t>https://sitruyencv.com/story/12568-phuong-tri-sinh-xuan-convert</t>
  </si>
  <si>
    <t>Mạt Thế Trọng Sinh: Tuyệt Sắc Pháo Hôi Đại Tiểu Thư Nghịch Tập [Convert]</t>
  </si>
  <si>
    <t>Nhẹ Nhàng, Góc nhìn nữ, Mạt Thế Nguy Cơ, Xuyên Sách</t>
  </si>
  <si>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</si>
  <si>
    <t>https://sitruyencv.com/story/8524-mat-the-trong-sinh-tuyet-sac-phao-hoi-dai-tieu-thu-nghich-tap-convert</t>
  </si>
  <si>
    <t>Thiên Tai Tận Thế, Nàng Trữ Đầy Vật Tư Phía Sau Giết Điên Rồi [Convert]</t>
  </si>
  <si>
    <t>Nhiệt Huyết, Xuyên Qua, Góc nhìn nữ, Mạt Thế Nguy Cơ</t>
  </si>
  <si>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</si>
  <si>
    <t>https://sitruyencv.com/story/12188-thien-tai-tan-the-nang-tru-day-vat-tu-phia-sau-giet-dien-roi-convert</t>
  </si>
  <si>
    <t>Trùng Sinh Quan Vận Hanh Thông [Dịch]</t>
  </si>
  <si>
    <t>Đô Thị, Trinh Thám, Hiện Đại Ngôn Tình</t>
  </si>
  <si>
    <t>Giảo Hoạt, Trọng Sinh, Quan Trường, Góc nhìn nam, Tinh Tế Văn Minh, Đô Thị Sinh Hoạt, Làm Giàu</t>
  </si>
  <si>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</si>
  <si>
    <t>https://sitruyencv.com/story/18381-trung-sinh-quan-van-hanh-thong-dich</t>
  </si>
  <si>
    <t>70 Ta Thành Nữ Chủ Cực Phẩm Tam Tẩu [Convert]</t>
  </si>
  <si>
    <t>Nhẹ Nhàng, Góc nhìn nữ, Hào Môn Thế Gia, Xuyên Sách</t>
  </si>
  <si>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</si>
  <si>
    <t>https://sitruyencv.com/story/8416-70-ta-thanh-nu-chu-cuc-pham-tam-tau-convert</t>
  </si>
  <si>
    <t>Q019</t>
  </si>
  <si>
    <t>Tìm truyện tây phương kỳ huyễn ít hơn 200 chương</t>
  </si>
  <si>
    <t>Ta Có Vô Hạn Tử Sĩ, Bạo Binh Quét Ngang Chư Thiên [Convert]</t>
  </si>
  <si>
    <t>Điềm Đạm, Đông Phương Huyền Huyễn, Góc nhìn nam, Xây Dựng Thế Lực</t>
  </si>
  <si>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</si>
  <si>
    <t>https://sitruyencv.com/story/11756-ta-co-vo-han-tu-si-bao-binh-quet-ngang-chu-thien-convert</t>
  </si>
  <si>
    <t>Đấu La: Thiên Cổ Nhất Đế, Khởi Đầu Triệu Hoán Đại Tuyết Long Kỵ [Dịch]</t>
  </si>
  <si>
    <t>Huyền Huyễn, Đồng Nhân, Tây Phương Kỳ Huyễn</t>
  </si>
  <si>
    <t>Góc nhìn nam, Tây Phương Kỳ Huyễn, Biến Thân, Xuyên Không, Xây Dựng Thế Lực, Diễn Sinh Đồng Nhân, Phản Phái</t>
  </si>
  <si>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</si>
  <si>
    <t>https://sitruyencv.com/story/20576-dau-la-thien-co-nhat-de-khoi-dau-trieu-hoan-dai-tuyet-long-ky-dich</t>
  </si>
  <si>
    <t>Vô Tận Hàn Đông: Doanh Địa Của Ta Thăng Cấp Vô Hạn [Dịch]</t>
  </si>
  <si>
    <t>Hệ Thống, Tây Phương Kỳ Huyễn, Xuyên Sách, Dị Giới, Dị Năng, Mạt Thế</t>
  </si>
  <si>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</si>
  <si>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</si>
  <si>
    <t>https://sitruyencv.com/story/18454-vo-tan-han-dong-doanh-dia-cua-ta-thang-cap-vo-han-dich</t>
  </si>
  <si>
    <t>Ta Thật Muốn Khống Chế Ngươi, Hoàng Nữ Điện Hạ [Convert]</t>
  </si>
  <si>
    <t>Kỳ Ảo</t>
  </si>
  <si>
    <t>Cơ Trí, Góc nhìn nam, Tây Phương Kỳ Huyễn</t>
  </si>
  <si>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</si>
  <si>
    <t>https://sitruyencv.com/story/17831-ta-that-muon-khong-che-nguoi-hoang-nu-dien-ha-convert</t>
  </si>
  <si>
    <t>Tây Du: Bắt Đầu Từ Công Chiếu Đại Thoại Tây Du [Dịch]</t>
  </si>
  <si>
    <t>Tiên Hiệp, Huyền Huyễn, Đồng Nhân, Hệ Thống</t>
  </si>
  <si>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</si>
  <si>
    <t>https://sitruyencv.com/story/18853-tay-du-bat-dau-tu-cong-chieu-dai-thoai-tay-du-dich</t>
  </si>
  <si>
    <t>Trộm Mộ: Bắt Đầu Triệu Hoán Bất Lương Soái, Nộ Tình Tương Tây [Convert]</t>
  </si>
  <si>
    <t>Cơ Trí, Xuyên Qua, Đông Phương Huyền Huyễn, Góc nhìn nam</t>
  </si>
  <si>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</si>
  <si>
    <t>https://sitruyencv.com/story/3074-trom-mo-bat-dau-trieu-hoan-bat-luong-soai-no-tinh-tuong-tay-convert</t>
  </si>
  <si>
    <t>Q020</t>
  </si>
  <si>
    <t>Tìm truyện huyền nghi thần quái</t>
  </si>
  <si>
    <t>Livestream Thẩm Định Cổ Vật: Bạn Học, Món Đồ Này Của Cậu Không Ổn Rồi [Dịch]</t>
  </si>
  <si>
    <t>Đô Thị, Huyền Nghi, Hệ Thống, Biến Thân, Hào Môn Thế Gia, Dị Năng, Điền Văn, Linh Dị, Huyền Nghi Thần Quái</t>
  </si>
  <si>
    <t>Điền Viên, Quỷ Bí Huyền Nghi, Đô Thị Dị Năng, Đông Phương Huyền Huyễn, Góc nhìn nam, Đô Thị Sinh Hoạt, Dân Gian Truyền Thuyết, Biến Thân, Xuyên Không, Hệ Thống</t>
  </si>
  <si>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</si>
  <si>
    <t>https://sitruyencv.com/story/20801-livestream-tham-dinh-co-vat-ban-hoc-mon-do-nay-cua-cau-khong-on-roi-dich</t>
  </si>
  <si>
    <t>Q021</t>
  </si>
  <si>
    <t>Tìm truyện có hệ thống</t>
  </si>
  <si>
    <t>tag</t>
  </si>
  <si>
    <t>Cao Võ: Ta Có Thể Hấp Thu Điểm Kinh Nghiệm [Convert]</t>
  </si>
  <si>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</si>
  <si>
    <t>https://sitruyencv.com/story/16100-cao-vo-ta-co-the-hap-thu-diem-kinh-nghiem-convert</t>
  </si>
  <si>
    <t>Trùng Sinh Phối Hệ Thống, Ta Vô Địch Rất Hợp Lý A [Convert]</t>
  </si>
  <si>
    <t>Nhẹ Nhàng, Sảng Văn, Đông Phương Huyền Huyễn, Góc nhìn nam</t>
  </si>
  <si>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</si>
  <si>
    <t>https://sitruyencv.com/story/6637-trung-sinh-phoi-he-thong-ta-vo-dich-rat-hop-ly-a-convert</t>
  </si>
  <si>
    <t>Vạn Tộc Chiến Trường: Ta Có Hệ Thống Bạo Kích Hàng Tỷ Lần [Dịch]</t>
  </si>
  <si>
    <t>Đô Thị, Võng Du, Hệ Thống</t>
  </si>
  <si>
    <t>Góc nhìn nam, Linh Khí Khôi Phục, Đô Thị Sinh Hoạt, Xây Dựng Thế Lực</t>
  </si>
  <si>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</si>
  <si>
    <t>https://sitruyencv.com/story/20776-van-toc-chien-truong-ta-co-he-thong-bao-kich-hang-ty-lan-dich</t>
  </si>
  <si>
    <t>Q022</t>
  </si>
  <si>
    <t>Tìm truyện có yếu tố đông phương huyền huyễn</t>
  </si>
  <si>
    <t>Vô Địch Theo Cướp Đoạt Khí Huyết Bắt Đầu [Convert]</t>
  </si>
  <si>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</si>
  <si>
    <t>https://sitruyencv.com/story/17533-vo-dich-theo-cuop-doat-khi-huyet-bat-dau-convert</t>
  </si>
  <si>
    <t>Gia Tộc Tu Tiên: Ta Làm Trấn Tộc Linh Thú [Convert]</t>
  </si>
  <si>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</si>
  <si>
    <t>https://sitruyencv.com/story/14222-gia-toc-tu-tien-ta-lam-tran-toc-linh-thu-convert</t>
  </si>
  <si>
    <t>Nhà Ta Nương Tử , Không Thích Hợp [Convert]</t>
  </si>
  <si>
    <t>Điềm Đạm, Đông Phương Huyền Huyễn, Góc nhìn nam</t>
  </si>
  <si>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</si>
  <si>
    <t>https://sitruyencv.com/story/10180-nha-ta-nuong-tu-khong-thich-hop-convert</t>
  </si>
  <si>
    <t>Q023</t>
  </si>
  <si>
    <t>Tìm truyện có phong cách nhiệt huyết</t>
  </si>
  <si>
    <t>Đa Tử Đa Phúc, Thập Nhị Tổ Vu Bức Hôn Toàn Hồng Hoang [Convert]</t>
  </si>
  <si>
    <t>Vô Sỉ, Sảng Văn, Góc nhìn nam, Viễn Cổ Hồng Hoang</t>
  </si>
  <si>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</si>
  <si>
    <t>https://sitruyencv.com/story/19397-da-tu-da-phuc-thap-nhi-to-vu-buc-hon-toan-hong-hoang-convert</t>
  </si>
  <si>
    <t>Q024</t>
  </si>
  <si>
    <t>Tìm truyện có phong cách sảng văn</t>
  </si>
  <si>
    <t>Ta Liền Một Con Nuôi, Các Tỷ Tỷ Đừng Có Lại Quấn Lấy Ta Rồi [Convert]</t>
  </si>
  <si>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</si>
  <si>
    <t>https://sitruyencv.com/story/16756-ta-lien-mot-con-nuoi-cac-ty-ty-dung-co-lai-quan-lay-ta-roi-convert</t>
  </si>
  <si>
    <t>Người Nhà Chết Thảm Ta Vào Tù, Một Ngày Gây Án Vô Số Lên [Convert]</t>
  </si>
  <si>
    <t>Giảo Hoạt, Sảng Văn, Góc nhìn nam, Đô Thị Sinh Hoạt</t>
  </si>
  <si>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</si>
  <si>
    <t>https://sitruyencv.com/story/17601-nguoi-nha-chet-tham-ta-vao-tu-mot-ngay-gay-an-vo-so-len-convert</t>
  </si>
  <si>
    <t>Mệnh Cách Có Tài Nhưng Thành Đạt Muộn? Nhưng Ta Là Thiên Tài A! [Convert]</t>
  </si>
  <si>
    <t>Điềm Đạm, Đông Phương Huyền Huyễn, Góc nhìn nam, Hệ Thống</t>
  </si>
  <si>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</si>
  <si>
    <t>https://sitruyencv.com/story/13535-menh-cach-co-tai-nhung-thanh-dat-muon-nhung-ta-la-thien-tai-a-convert</t>
  </si>
  <si>
    <t>Q025</t>
  </si>
  <si>
    <t>Tìm truyện có nhân vật chính cơ trí</t>
  </si>
  <si>
    <t>Đệ Cửu Đế Quốc [Convert]</t>
  </si>
  <si>
    <t>Cơ Trí, Góc nhìn nam, Dị Thế Đại Lục, Xây Dựng Thế Lực</t>
  </si>
  <si>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</si>
  <si>
    <t>https://sitruyencv.com/story/13183-de-cuu-de-quoc-convert</t>
  </si>
  <si>
    <t>Q026</t>
  </si>
  <si>
    <t>Tìm truyện có phong cách điềm đạm</t>
  </si>
  <si>
    <t>Nha Tiên Nhân [Convert]</t>
  </si>
  <si>
    <t>Điềm Đạm, Góc nhìn nam, Huyễn Tưởng Tu Tiên, Tùy Thân</t>
  </si>
  <si>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</si>
  <si>
    <t>https://sitruyencv.com/story/16859-nha-tien-nhan-convert</t>
  </si>
  <si>
    <t>Tuổi Già Bị Lão Bà Chia Tay, Hệ Thống Rốt Cuộc Đã Đến [Convert]</t>
  </si>
  <si>
    <t>Điềm Đạm, Sảng Văn, Đông Phương Huyền Huyễn, Góc nhìn nam</t>
  </si>
  <si>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</si>
  <si>
    <t>https://sitruyencv.com/story/16814-tuoi-gia-bi-lao-ba-chia-tay-he-thong-rot-cuoc-da-den-convert</t>
  </si>
  <si>
    <t>Q027</t>
  </si>
  <si>
    <t>Tìm truyện có yếu tố đô thị sinh hoạt</t>
  </si>
  <si>
    <t>Tứ Hợp Viện: Xuyên Qua Ba Năm Đạt Được Bàn Tay Lực Lượng [Convert]</t>
  </si>
  <si>
    <t>Nhiệt Huyết, Điền Viên, Góc nhìn nam, Đô Thị Sinh Hoạt</t>
  </si>
  <si>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</si>
  <si>
    <t>https://sitruyencv.com/story/17915-tu-hop-vien-xuyen-qua-ba-nam-dat-duoc-ban-tay-luc-luong-convert</t>
  </si>
  <si>
    <t>Q028</t>
  </si>
  <si>
    <t>Tìm truyện có yếu tố xuyên qua</t>
  </si>
  <si>
    <t>Tổng Mạn: Từ Mushoku Tensei Bắt Đầu [Convert]</t>
  </si>
  <si>
    <t>Nhiệt Huyết, Góc nhìn nam, Thời Không Xuyên Toa, Hệ Thống</t>
  </si>
  <si>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</si>
  <si>
    <t>https://sitruyencv.com/story/16290-tong-man-tu-mushoku-tensei-bat-dau-convert</t>
  </si>
  <si>
    <t>Q029</t>
  </si>
  <si>
    <t>Tìm truyện có yếu tố vô sỉ</t>
  </si>
  <si>
    <t>Bảo Ngươi Khế Ước Linh Thú, Ngươi Lại Đi Khế Ước Tuyệt Mỹ Sư Tỷ? [Convert]</t>
  </si>
  <si>
    <t>Vô Sỉ, Góc nhìn nam, Huyễn Tưởng Tu Tiên, Hệ Thống</t>
  </si>
  <si>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</si>
  <si>
    <t>https://sitruyencv.com/story/19400-bao-nguoi-khe-uoc-linh-thu-nguoi-lai-di-khe-uoc-tuyet-my-su-ty-convert</t>
  </si>
  <si>
    <t>Q030</t>
  </si>
  <si>
    <t>Tìm truyện có yếu tố huyễn tưởng tu tiên</t>
  </si>
  <si>
    <t>Q031</t>
  </si>
  <si>
    <t>Tìm truyện về xây dựng thế lực</t>
  </si>
  <si>
    <t>Chưởng Môn Chinh Đồ [Convert]</t>
  </si>
  <si>
    <t>Vô Sỉ, Huyễn Tưởng Tu Tiên, Xây Dựng Thế Lực</t>
  </si>
  <si>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</si>
  <si>
    <t>https://sitruyencv.com/story/447-chuong-mon-chinh-do-convert</t>
  </si>
  <si>
    <t>Đấu Phá: Đa Tử Đa Phúc, Ta Chế Tạo Mạnh Nhất Gia Tộc [Convert]</t>
  </si>
  <si>
    <t>Vô Sỉ, Góc nhìn nam, Góc nhìn nữ, Dị Thế Đại Lục, Hệ Thống</t>
  </si>
  <si>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</si>
  <si>
    <t>https://sitruyencv.com/story/10623-dau-pha-da-tu-da-phuc-ta-che-tao-manh-nhat-gia-toc-convert</t>
  </si>
  <si>
    <t>Trường Sinh Tiên Tộc, Từ Rời Tông Môn Bắt Đầu [Convert]</t>
  </si>
  <si>
    <t>Nhiệt Huyết, Góc nhìn nam, Huyễn Tưởng Tu Tiên, Xây Dựng Thế Lực</t>
  </si>
  <si>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</si>
  <si>
    <t>https://sitruyencv.com/story/17419-truong-sinh-tien-toc-tu-roi-tong-mon-bat-dau-convert</t>
  </si>
  <si>
    <t>Q032</t>
  </si>
  <si>
    <t>Tìm truyện có nhân vật chính xuyên không</t>
  </si>
  <si>
    <t>Đấu La: Xuyên Thành Hoắc Vũ Hạo, Khởi Đầu Bái Sư Dược Lão [Dịch]</t>
  </si>
  <si>
    <t>Huyền Huyễn, Đồng Nhân, Hệ Thống, Phản Phái, Dị Giới, Sủng</t>
  </si>
  <si>
    <t>Vô Địch, Xuyên Qua, Trọng Sinh, Ngọt Sủng, Vả Mặt, Sảng Văn, Đông Phương Huyền Huyễn, Góc nhìn nam, Chư Thiên Vạn Giới, Thiên Tài, Xuyên Không, Vạn Người Mê, Nhân Thú, Diễn Sinh Đồng Nhân, Hệ Thống</t>
  </si>
  <si>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</si>
  <si>
    <t>https://sitruyencv.com/story/19735-dau-la-xuyen-thanh-hoac-vu-hao-khoi-dau-bai-su-duoc-lao-dich</t>
  </si>
  <si>
    <t>Sau Khi Sống Lại Mới Phát Hiện, Ta Đúng Là Thiên Mệnh Nhân Vật Chính! [Convert]</t>
  </si>
  <si>
    <t>Nhiệt Huyết, Trọng Sinh, Đông Phương Huyền Huyễn, Góc nhìn nam</t>
  </si>
  <si>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</si>
  <si>
    <t>https://sitruyencv.com/story/13561-sau-khi-song-lai-moi-phat-hien-ta-dung-la-thien-menh-nhan-vat-chinh-convert</t>
  </si>
  <si>
    <t>Đặc Nhiếp: Mị Ma Chính Thái, Đụng Đổ Mẹ Của Tiểu Nhượng [Dịch]</t>
  </si>
  <si>
    <t>Huyền Huyễn, Đồng Nhân, Light Novel, Hệ Thống, Biến Thân, Xuyên Sách, Dị Năng, Sủng</t>
  </si>
  <si>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</si>
  <si>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</si>
  <si>
    <t>https://sitruyencv.com/story/19613-dac-nhiep-mi-ma-chinh-thai-dung-do-me-cua-tieu-nhuong-dich</t>
  </si>
  <si>
    <t>Hệ Thống Trừu Tượng, Ta Cũng Chẳng Kém Gì!!! [Dịch]</t>
  </si>
  <si>
    <t>Đô Thị, Hệ Thống</t>
  </si>
  <si>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</si>
  <si>
    <t>https://sitruyencv.com/story/18831-he-thong-truu-tuong-ta-cung-chang-kem-gi-dich</t>
  </si>
  <si>
    <t>Q033</t>
  </si>
  <si>
    <t>Tìm truyện có nhân vật chính vô địch</t>
  </si>
  <si>
    <t>Vô Địch Từ Miểu Sát Ức Vạn Thiên Phú Bắt Đầu [Convert]</t>
  </si>
  <si>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</si>
  <si>
    <t>https://sitruyencv.com/story/14684-vo-dich-tu-mieu-sat-uc-van-thien-phu-bat-dau-convert</t>
  </si>
  <si>
    <t>Đấu La: Thần Cấp Máy Gian Lận, Rời Núi Tức Vô Địch [Convert]</t>
  </si>
  <si>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</si>
  <si>
    <t>https://sitruyencv.com/story/12428-dau-la-than-cap-may-gian-lan-roi-nui-tuc-vo-dich-convert</t>
  </si>
  <si>
    <t>Kiếm Đạo Chi Chủ [Convert]</t>
  </si>
  <si>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</si>
  <si>
    <t>https://sitruyencv.com/story/12531-kiem-dao-chi-chu-convert</t>
  </si>
  <si>
    <t>Q034</t>
  </si>
  <si>
    <t>Tìm truyện lấy bối cảnh cao võ thế giới</t>
  </si>
  <si>
    <t>Vô Hạn Nghề Nghiệp: Từ Thợ Rèn Bắt Đầu Võ Đạo Xưng Thánh [Convert]</t>
  </si>
  <si>
    <t>Nhiệt Huyết, Xuyên Qua, Cao Võ Thế Giới, Góc nhìn nam</t>
  </si>
  <si>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</si>
  <si>
    <t>https://sitruyencv.com/story/13562-vo-han-nghe-nghiep-tu-tho-ren-bat-dau-vo-dao-xung-thanh-convert</t>
  </si>
  <si>
    <t>Võ Thánh Bắt Đầu Từ Ô Chứa Đồ [Convert]</t>
  </si>
  <si>
    <t>Cơ Trí, Cao Võ Thế Giới, Góc nhìn nam, Hệ Thống</t>
  </si>
  <si>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</si>
  <si>
    <t>https://sitruyencv.com/story/17770-vo-thanh-bat-dau-tu-o-chua-do-convert</t>
  </si>
  <si>
    <t>Cao Võ: Cháu Gái Bị Khi Phụ, 8 Tuổi Ta Chắn Cửa Trường! [Convert]</t>
  </si>
  <si>
    <t>Thiết Huyết, Cao Võ Thế Giới, Hệ Thống</t>
  </si>
  <si>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</si>
  <si>
    <t>https://sitruyencv.com/story/1063-cao-vo-chau-gai-bi-khi-phu-8-tuoi-ta-chan-cua-truong-convert</t>
  </si>
  <si>
    <t>Đánh Dấu Già Thiên Trăm Năm Thành Thánh [Convert]</t>
  </si>
  <si>
    <t>Nhiệt Huyết, Xuyên Qua, Đông Phương Huyền Huyễn, Góc nhìn nam</t>
  </si>
  <si>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</si>
  <si>
    <t>https://sitruyencv.com/story/5138-danh-dau-gia-thien-tram-nam-thanh-thanh-convert</t>
  </si>
  <si>
    <t>Q035</t>
  </si>
  <si>
    <t>Tìm truyện có phong cách nhẹ nhàng</t>
  </si>
  <si>
    <t>Nữ Chính Trong Game Thành Sự Thật? Cao Lãnh Giáo Hoa Lệ Rơi Đầy Mặt [Convert]</t>
  </si>
  <si>
    <t>Cơ Trí, Sảng Văn, Góc nhìn nam, Đô Thị Sinh Hoạt</t>
  </si>
  <si>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</si>
  <si>
    <t>https://sitruyencv.com/story/19509-nu-chinh-trong-game-thanh-su-that-cao-lanh-giao-hoa-le-roi-day-mat-convert</t>
  </si>
  <si>
    <t>Đã Nói Từ Hôn, Sư Đồ Các Nàng Lại Hối Hận Muốn Gả Cho Ta [Convert]</t>
  </si>
  <si>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</si>
  <si>
    <t>https://sitruyencv.com/story/19831-da-noi-tu-hon-su-do-cac-nang-lai-hoi-han-muon-ga-cho-ta-convert</t>
  </si>
  <si>
    <t>Q036</t>
  </si>
  <si>
    <t>Tìm truyện có yếu tố trọng sinh</t>
  </si>
  <si>
    <t>Trọng Sinh 2008: Trang Bị Hệ Nam Thần. [Dịch]</t>
  </si>
  <si>
    <t>Trọng Sinh, Đô Thị Sinh Hoạt, Thương Chiến Chức Tràng, Hệ Thống, Thanh Xuân Vườn Trường</t>
  </si>
  <si>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</si>
  <si>
    <t>https://sitruyencv.com/story/20185-trong-sinh-2008-trang-bi-he-nam-than-dich</t>
  </si>
  <si>
    <t>Q037</t>
  </si>
  <si>
    <t>Tìm truyện có bối cảnh dị thế đại lục, trang thái truyện đã hoàn thành</t>
  </si>
  <si>
    <t>Đấu La: Ta, Cử Thế Tiên Sư, Thu Đồ Ninh Vinh Vinh [Convert]</t>
  </si>
  <si>
    <t>Điềm Đạm, Góc nhìn nam, Dị Thế Đại Lục, Hệ Thống</t>
  </si>
  <si>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</si>
  <si>
    <t>https://sitruyencv.com/story/12820-dau-la-ta-cu-the-tien-su-thu-do-ninh-vinh-vinh-convert</t>
  </si>
  <si>
    <t>Tinh Không Hợp Thành Sổ Tay [Convert]</t>
  </si>
  <si>
    <t>Nhiệt Huyết, Góc nhìn nam, Dị Thế Đại Lục, Hệ Thống</t>
  </si>
  <si>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</si>
  <si>
    <t>https://sitruyencv.com/story/17994-tinh-khong-hop-thanh-so-tay-convert</t>
  </si>
  <si>
    <t>Tống Võ: Đại Tần Hoàng Tử, Các Ngươi Tu Võ Ta Tu Tiên [Convert]</t>
  </si>
  <si>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</si>
  <si>
    <t>https://sitruyencv.com/story/16537-tong-vo-dai-tan-hoang-tu-cac-nguoi-tu-vo-ta-tu-tien-convert</t>
  </si>
  <si>
    <t>Tối Cường Trang Bức Đả Kiểm Hệ Thống [Convert]</t>
  </si>
  <si>
    <t>Vô Sỉ, Sảng Văn, Góc nhìn nam</t>
  </si>
  <si>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</si>
  <si>
    <t>https://sitruyencv.com/story/127-toi-cuong-trang-buc-da-kiem-he-thong-convert</t>
  </si>
  <si>
    <t>Q038</t>
  </si>
  <si>
    <t>Tìm truyện đô thị có yếu tố dị năng có hơn 300 chương</t>
  </si>
  <si>
    <t>Bắt Đầu Bị Quăng, Ta Quay Người Trở Thành Ức Vạn Phú Ông [Convert]</t>
  </si>
  <si>
    <t>Vô Sỉ, Góc nhìn nam, Đô Thị Sinh Hoạt, Hệ Thống</t>
  </si>
  <si>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</si>
  <si>
    <t>https://sitruyencv.com/story/12225-bat-dau-bi-quang-ta-quay-nguoi-tro-thanh-uc-van-phu-ong-convert</t>
  </si>
  <si>
    <t>Tận Thế: Xuyên Qua Gấu Bắc Cực, Nuốt Vào Trái Nikyu Nikyu No Mi [Convert]</t>
  </si>
  <si>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</si>
  <si>
    <t>https://sitruyencv.com/story/17739-tan-the-xuyen-qua-gau-bac-cuc-nuot-vao-trai-nikyu-nikyu-no-mi-convert</t>
  </si>
  <si>
    <t>Quốc Vận Cầu Sinh: Vận Khí Của Ta Xui Hơn Ức Điểm Điểm [Convert]</t>
  </si>
  <si>
    <t>Giảo Hoạt, Cá Mặn, Đô Thị Dị Năng, Góc nhìn nam</t>
  </si>
  <si>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</si>
  <si>
    <t>https://sitruyencv.com/story/19897-quoc-van-cau-sinh-van-khi-cua-ta-xui-hon-uc-diem-diem-convert</t>
  </si>
  <si>
    <t>Q039</t>
  </si>
  <si>
    <t>Tìm truyện có phong cách thiết huyết có ít hơn 1500 chương</t>
  </si>
  <si>
    <t>Từ Thiết Y Công Bắt Đầu Nhục Thân Thành Thánh [Convert]</t>
  </si>
  <si>
    <t>Nhiệt Huyết, Đông Phương Huyền Huyễn, Góc nhìn nam, Hệ Thống</t>
  </si>
  <si>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</si>
  <si>
    <t>https://sitruyencv.com/story/17916-tu-thiet-y-cong-bat-dau-nhuc-than-thanh-thanh-convert</t>
  </si>
  <si>
    <t>Bắt Đầu Vừa Vặn Cẩu Hết Mười Năm, Ta Vô Địch [Convert]</t>
  </si>
  <si>
    <t>Nhiệt Huyết, Đông Phương Huyền Huyễn, Góc nhìn nam, Tùy Thân</t>
  </si>
  <si>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</si>
  <si>
    <t>https://sitruyencv.com/story/17058-bat-dau-vua-van-cau-het-muoi-nam-ta-vo-dich-convert</t>
  </si>
  <si>
    <t>Cửu Giai phù Lục sư [Convert]</t>
  </si>
  <si>
    <t>Cơ Trí, Xuyên Qua, Góc nhìn nam, Huyễn Tưởng Tu Tiên</t>
  </si>
  <si>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</si>
  <si>
    <t>https://sitruyencv.com/story/14007-cuu-giai-phu-luc-su-convert</t>
  </si>
  <si>
    <t>Q040</t>
  </si>
  <si>
    <t>Tìm truyện có nhân vật chính là thiên tài có trạng thái đang ra và hơn 500 chương</t>
  </si>
  <si>
    <t>Mệnh Cách Thiên Đạo Thù Cần, Cũng May Ta Là Thiên Tài [Convert]</t>
  </si>
  <si>
    <t>Cơ Trí, Đông Phương Huyền Huyễn, Góc nhìn nam, Thiên Tài</t>
  </si>
  <si>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</si>
  <si>
    <t>https://sitruyencv.com/story/13905-menh-cach-thien-dao-thu-can-cung-may-ta-la-thien-tai-convert</t>
  </si>
  <si>
    <t>Đỉnh Cấp Ngộ Tính: Từ Cơ Sở Quyền Pháp Bắt Đầu [Dịch]</t>
  </si>
  <si>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</si>
  <si>
    <t>https://sitruyencv.com/story/18613-dinh-cap-ngo-tinh-tu-co-so-quyen-phap-bat-dau-dich</t>
  </si>
  <si>
    <t>Q041</t>
  </si>
  <si>
    <t>Tìm truyện tiên hiệp có hệ thống</t>
  </si>
  <si>
    <t>multi_condition</t>
  </si>
  <si>
    <t>Quyển Không Nổi Nữa, Để Ta Đi Ngoại Môn Đi [Convert]</t>
  </si>
  <si>
    <t>Điềm Đạm, Cá Mặn, Góc nhìn nam, Huyễn Tưởng Tu Tiên</t>
  </si>
  <si>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</si>
  <si>
    <t>https://sitruyencv.com/story/20034-quyen-khong-noi-nua-de-ta-di-ngoai-mon-di-convert</t>
  </si>
  <si>
    <t>Q042</t>
  </si>
  <si>
    <t>Tìm truyện huyền huyễn có hệ thống</t>
  </si>
  <si>
    <t>Q043</t>
  </si>
  <si>
    <t>Tìm truyện đô thị có hệ thống</t>
  </si>
  <si>
    <t>Thi Đại Học Bao Nhiêu Điểm, Liền Thưởng Ta Bấy Nhiêu Tỷ! [Convert]</t>
  </si>
  <si>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</si>
  <si>
    <t>https://sitruyencv.com/story/19851-thi-dai-hoc-bao-nhieu-diem-lien-thuong-ta-bay-nhieu-ty-convert</t>
  </si>
  <si>
    <t>Tự Kỷ Luật Để Ngươi Tự Do, Không Có Để Ngươi Mỹ Nữ Tự Do A [Convert]</t>
  </si>
  <si>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</si>
  <si>
    <t>https://sitruyencv.com/story/16333-tu-ky-luat-de-nguoi-tu-do-khong-co-de-nguoi-my-nu-tu-do-a-convert</t>
  </si>
  <si>
    <t>Q044</t>
  </si>
  <si>
    <t>Tìm truyện tiên hiệp có yếu tố xuyên không</t>
  </si>
  <si>
    <t>Hồng Hoang Đệ Nhất Giảo Cục Nhân [Convert]</t>
  </si>
  <si>
    <t>Giảo Hoạt, Xuyên Qua, Góc nhìn nam, Viễn Cổ Hồng Hoang</t>
  </si>
  <si>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</si>
  <si>
    <t>https://sitruyencv.com/story/19110-hong-hoang-de-nhat-giao-cuc-nhan-convert</t>
  </si>
  <si>
    <t>Q045</t>
  </si>
  <si>
    <t>Tìm truyện huyền huyễn có yếu tố xuyên không</t>
  </si>
  <si>
    <t>Chỉ Muốn Khi Người Trong Suốt, Làm Sao Thành Tào Ngụy Chủ Mưu [Convert]</t>
  </si>
  <si>
    <t>Cơ Trí, Góc nhìn nam, Hệ Thống, Giá Không Lịch Sử</t>
  </si>
  <si>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</si>
  <si>
    <t>https://sitruyencv.com/story/13532-chi-muon-khi-nguoi-trong-suot-lam-sao-thanh-tao-nguy-chu-muu-convert</t>
  </si>
  <si>
    <t>Q046</t>
  </si>
  <si>
    <t>Tìm truyện đô thị có yếu tố trọng sinh</t>
  </si>
  <si>
    <t>Q047</t>
  </si>
  <si>
    <t>Tìm truyện huyền huyễn có nhân vật chính vô địch</t>
  </si>
  <si>
    <t>Đấu La: Thu Phục Nữ Thần [Dịch]</t>
  </si>
  <si>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</si>
  <si>
    <t>https://sitruyencv.com/story/19729-dau-la-thu-phuc-nu-than-dich</t>
  </si>
  <si>
    <t>Q048</t>
  </si>
  <si>
    <t>Tìm truyện tiên hiệp có yếu tố xây dựng thế lực</t>
  </si>
  <si>
    <t>Gia Tộc Tu Tiên: Ta Nuôi Con Cháu Thành Tiên [Convert]</t>
  </si>
  <si>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</si>
  <si>
    <t>https://sitruyencv.com/story/20016-gia-toc-tu-tien-ta-nuoi-con-chau-thanh-tien-convert</t>
  </si>
  <si>
    <t>Tay Cầm Vạn Pháp Ngọc Giản, Ta Khiến Gia Tộc Vạn Tiên Lai Triều [Convert]</t>
  </si>
  <si>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</si>
  <si>
    <t>https://sitruyencv.com/story/20027-tay-cam-van-phap-ngoc-gian-ta-khien-gia-toc-van-tien-lai-trieu-convert</t>
  </si>
  <si>
    <t>Thiên Băng Khai Cục, Từ Tử Tù Doanh Chém Tới Chiến Vương [Dịch]</t>
  </si>
  <si>
    <t>Hệ Thống, Lịch Sử Quân Sự, Xuyên Sách</t>
  </si>
  <si>
    <t>Nhiệt Huyết, Thiết Huyết, Kiêu Ngạo, Vô Địch, Vả Mặt, Sảng Văn, Góc nhìn nam, Võ Hiệp Huyễn Tưởng, Lịch Sử Quân Sự, Xuyên Không, Xây Dựng Thế Lực</t>
  </si>
  <si>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</si>
  <si>
    <t>https://sitruyencv.com/story/18457-thien-bang-khai-cuc-tu-tu-tu-doanh-chem-toi-chien-vuong-dich</t>
  </si>
  <si>
    <t>Q049</t>
  </si>
  <si>
    <t>Tìm truyện đô thị có yếu tố dị năng</t>
  </si>
  <si>
    <t>Bức Ta Thoát Khỏi Đội? Mang Bốn Con Chó Một Dạng Đánh! [Convert]</t>
  </si>
  <si>
    <t>Nhiệt Huyết, Sảng Văn, Đô Thị Dị Năng, Góc nhìn nam</t>
  </si>
  <si>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</si>
  <si>
    <t>https://sitruyencv.com/story/13494-buc-ta-thoat-khoi-doi-mang-bon-con-cho-mot-dang-danh-convert</t>
  </si>
  <si>
    <t>Hoa Ngu: Sự Đản Sinh Của Một Đỉnh Lưu Mị Ma [Convert]</t>
  </si>
  <si>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</si>
  <si>
    <t>https://sitruyencv.com/story/18919-hoa-ngu-su-dan-sinh-cua-mot-dinh-luu-mi-ma-convert</t>
  </si>
  <si>
    <t>Q050</t>
  </si>
  <si>
    <t>Tìm truyện có hệ thống và nhân vật chính vô địch</t>
  </si>
  <si>
    <t>Ta, Konoha Thôn Đệ Nhất Ác Tặc [Dịch]</t>
  </si>
  <si>
    <t>Đồng Nhân, Hệ Thống, Xuyên Sách</t>
  </si>
  <si>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</si>
  <si>
    <t>https://sitruyencv.com/story/20479-ta-konoha-thon-de-nhat-ac-tac-dich</t>
  </si>
  <si>
    <t>Hệ Thống Sợ Ta Tận Thế Chết, Bắt Đầu Đánh Dấu Allspark [Convert]</t>
  </si>
  <si>
    <t>Nhiệt Huyết, Sảng Văn, Góc nhìn nam, Mạt Thế Nguy Cơ</t>
  </si>
  <si>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</si>
  <si>
    <t>https://sitruyencv.com/story/16144-he-thong-so-ta-tan-the-chet-bat-dau-danh-dau-allspark-convert</t>
  </si>
  <si>
    <t>Q051</t>
  </si>
  <si>
    <t>Tìm truyện có hệ thống và yếu tố xuyên không</t>
  </si>
  <si>
    <t>Q052</t>
  </si>
  <si>
    <t>Tìm truyện có hệ thống và yếu tố trọng sinh</t>
  </si>
  <si>
    <t>Đầu Tư Trọng Sinh Nữ Đế, Nàng Lại Gọi Ta Tướng Công [Convert]</t>
  </si>
  <si>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</si>
  <si>
    <t>https://sitruyencv.com/story/11481-dau-tu-trong-sinh-nu-de-nang-lai-goi-ta-tuong-cong-convert</t>
  </si>
  <si>
    <t>Cẩu Tại Võ Đạo Thế Giới Thêm Điểm Trường Sinh [Convert]</t>
  </si>
  <si>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</si>
  <si>
    <t>https://sitruyencv.com/story/13808-cau-tai-vo-dao-the-gioi-them-diem-truong-sinh-convert</t>
  </si>
  <si>
    <t>Q053</t>
  </si>
  <si>
    <t>Tìm truyện có yếu tố xuyên không và xây dựng thế lực</t>
  </si>
  <si>
    <t>Q054</t>
  </si>
  <si>
    <t>Tìm truyện có yếu tố trọng sinh và vô địch</t>
  </si>
  <si>
    <t>Q055</t>
  </si>
  <si>
    <t>Tìm truyện huyền huyễn có phong cách nhiệt huyết</t>
  </si>
  <si>
    <t>Q056</t>
  </si>
  <si>
    <t>Tìm truyện tiên hiệp có phong cách nhiệt huyết</t>
  </si>
  <si>
    <t>Q057</t>
  </si>
  <si>
    <t>Tìm truyện đô thị có phong cách sảng văn</t>
  </si>
  <si>
    <t>Cha Là Cục Trưởng Mẹ Là Thủ Phú, Ta Ở Huyện Thành Hô Phong Hoán Vũ [Convert]</t>
  </si>
  <si>
    <t>Giảo Hoạt, Trọng Sinh, Góc nhìn nam, Đô Thị Sinh Hoạt</t>
  </si>
  <si>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</si>
  <si>
    <t>https://sitruyencv.com/story/19838-cha-la-cuc-truong-me-la-thu-phu-ta-o-huyen-thanh-ho-phong-hoan-vu-convert</t>
  </si>
  <si>
    <t>Q058</t>
  </si>
  <si>
    <t>Tìm truyện huyền huyễn có phong cách sảng văn</t>
  </si>
  <si>
    <t>Ngũ Hành Linh Căn, Lặng Lẽ Luyện Đan Trường Sinh [Convert]</t>
  </si>
  <si>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</si>
  <si>
    <t>https://sitruyencv.com/story/20020-ngu-hanh-linh-can-lang-le-luyen-dan-truong-sinh-convert</t>
  </si>
  <si>
    <t>Q059</t>
  </si>
  <si>
    <t>Tìm truyện có nhân vật chính cơ trí và có hệ thống</t>
  </si>
  <si>
    <t>Q060</t>
  </si>
  <si>
    <t>Tìm truyện có nhân vật chính thiên tài và vô địch</t>
  </si>
  <si>
    <t>Q061</t>
  </si>
  <si>
    <t>Tìm truyện cao võ có yếu tố hệ thống</t>
  </si>
  <si>
    <t>Toàn Cầu Chuyển Chức: Bắt Đầu Khóa Lại Thần Tượng Trấn Ngục Kình! [Convert]</t>
  </si>
  <si>
    <t>Nhiệt Huyết, Cao Võ Thế Giới, Góc nhìn nam, Toàn Dân</t>
  </si>
  <si>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</si>
  <si>
    <t>https://sitruyencv.com/story/18117-toan-cau-chuyen-chuc-bat-dau-khoa-lai-than-tuong-tran-nguc-kinh-convert</t>
  </si>
  <si>
    <t>Võ Đạo Phong Thần, Quan Sát Liền Có Thể Thêm Điểm! [Convert]</t>
  </si>
  <si>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</si>
  <si>
    <t>https://sitruyencv.com/story/12554-vo-dao-phong-than-quan-sat-lien-co-the-them-diem-convert</t>
  </si>
  <si>
    <t>Để Ngươi Người Quản Lý Phế Vật Lớp, Làm Sao Thành Võ Thần Điện [Convert]</t>
  </si>
  <si>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</si>
  <si>
    <t>https://sitruyencv.com/story/12603-de-nguoi-nguoi-quan-ly-phe-vat-lop-lam-sao-thanh-vo-than-dien-convert</t>
  </si>
  <si>
    <t>Q062</t>
  </si>
  <si>
    <t>Tìm truyện dị thế đại lục có hệ thống</t>
  </si>
  <si>
    <t>Q063</t>
  </si>
  <si>
    <t>Tìm truyện có yếu tố đông phương huyền huyễn và hệ thống có trạng thái hoàn thành</t>
  </si>
  <si>
    <t>Bắt Đầu Thanh Vân Tông Chủ, Triệu Hoán Đại Đế Cảnh Lão Tổ [Convert]</t>
  </si>
  <si>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</si>
  <si>
    <t>https://sitruyencv.com/story/12094-bat-dau-thanh-van-tong-chu-trieu-hoan-dai-de-canh-lao-to-convert</t>
  </si>
  <si>
    <t>Bế Quan 100. 000 Năm, Kỳ Lân Tộc Mời Ta Xuất Quan Làm Chủ [Convert]</t>
  </si>
  <si>
    <t>Điềm Đạm, Đông Phương Huyền Huyễn</t>
  </si>
  <si>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</si>
  <si>
    <t>https://sitruyencv.com/story/563-be-quan-100-000-nam-ky-lan-toc-moi-ta-xuat-quan-lam-chu-convert</t>
  </si>
  <si>
    <t>Q064</t>
  </si>
  <si>
    <t>Tìm truyện có yếu tố huyễn tưởng tu tiên và hệ thống có hơn 500 chương truyện</t>
  </si>
  <si>
    <t>Q065</t>
  </si>
  <si>
    <t>Tìm truyện có yếu tố chư thiên vạn giới và hệ thống có trạng thái đang ra</t>
  </si>
  <si>
    <t>Khai Cục Xông Sư Nghịch Đồ, Thức Tỉnh Hệ Thống Kịch Bản Nhân Sinh [Convert]</t>
  </si>
  <si>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</si>
  <si>
    <t>https://sitruyencv.com/story/18913-khai-cuc-xong-su-nghich-do-thuc-tinh-he-thong-kich-ban-nhan-sinh-convert</t>
  </si>
  <si>
    <t>Ta Thiên Đình Thái Tử Gia, Thiên Đế Cha Vô Địch, Ta Nằm [Convert]</t>
  </si>
  <si>
    <t>Điềm Đạm, Vô Địch, Cá Mặn, Góc nhìn nam, Chư Thiên Vạn Giới</t>
  </si>
  <si>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</si>
  <si>
    <t>https://sitruyencv.com/story/18959-ta-thien-dinh-thai-tu-gia-thien-de-cha-vo-dich-ta-nam-convert</t>
  </si>
  <si>
    <t>Q066</t>
  </si>
  <si>
    <t>Tôi muốn kiếm truyện về main xuyên không sang thế giới khác rồi bắt đầu cuộc sống mới</t>
  </si>
  <si>
    <t>semantic</t>
  </si>
  <si>
    <t>Bé Con Có Túi Gấm Xuyên Hai Giới, Cứu Sống Cả Thôn Làng [Dịch]</t>
  </si>
  <si>
    <t>Điền Văn, Nữ Cường, Sủng</t>
  </si>
  <si>
    <t>Góc nhìn nữ, Xuyên Không</t>
  </si>
  <si>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</si>
  <si>
    <t>https://sitruyencv.com/story/19299-be-con-co-tui-gam-xuyen-hai-gioi-cuu-song-ca-thon-lang-dich</t>
  </si>
  <si>
    <t>Đây Là Chúng Ta Warhammer Hành Trình [Convert]</t>
  </si>
  <si>
    <t>Điềm Đạm, Xuyên Qua, Góc nhìn nam, Diễn Sinh Đồng Nhân</t>
  </si>
  <si>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</si>
  <si>
    <t>https://sitruyencv.com/story/16769-day-la-chung-ta-warhammer-hanh-trinh-convert</t>
  </si>
  <si>
    <t>Thứ Nguyên Luân Hồi: Bắt Đầu Trở Thành Kuuga! [Convert]</t>
  </si>
  <si>
    <t>Cơ Trí, Góc nhìn nam, Diễn Sinh Đồng Nhân, Hệ Thống</t>
  </si>
  <si>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</si>
  <si>
    <t>https://sitruyencv.com/story/11242-thu-nguyen-luan-hoi-bat-dau-tro-thanh-kuuga-convert</t>
  </si>
  <si>
    <t>Ta Trù Thần, Tông Môn Trên Dưới Bị Thèm Khóc Rồi [Convert]</t>
  </si>
  <si>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</si>
  <si>
    <t>https://sitruyencv.com/story/12085-ta-tru-than-tong-mon-tren-duoi-bi-them-khoc-roi-convert</t>
  </si>
  <si>
    <t>Thiệu Tống [Dịch]</t>
  </si>
  <si>
    <t>Lịch Sử Quân Sự</t>
  </si>
  <si>
    <t>Góc nhìn nam, Lịch Sử Quân Sự, Lịch Sử Quan Trường, Xuyên Không, Xây Dựng Thế Lực</t>
  </si>
  <si>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</si>
  <si>
    <t>https://sitruyencv.com/story/20101-thieu-tong-dich</t>
  </si>
  <si>
    <t>Q067</t>
  </si>
  <si>
    <t xml:space="preserve">Tôi muốn tìm truyện main có hệ thống giúp mình trở nên mạnh hơn và có yếu tố harem </t>
  </si>
  <si>
    <t>Xuyên Qua Konoha, Bắt Đầu Đổi Thành Goro Goro No Mi [Convert]</t>
  </si>
  <si>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</si>
  <si>
    <t>https://sitruyencv.com/story/11016-xuyen-qua-konoha-bat-dau-doi-thanh-goro-goro-no-mi-convert</t>
  </si>
  <si>
    <t>Q068</t>
  </si>
  <si>
    <t>Tôi muốn đọc truyện về quá trình tu luyện và trở thành cường giả</t>
  </si>
  <si>
    <t>Hồng Lâu: Người Tướng Quân Này Lại Lại Lại Nạp Thiếp [Convert]</t>
  </si>
  <si>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</si>
  <si>
    <t>https://sitruyencv.com/story/13530-hong-lau-nguoi-tuong-quan-nay-lai-lai-lai-nap-thiep-convert</t>
  </si>
  <si>
    <t>Q069</t>
  </si>
  <si>
    <t>Tìm truyện mà main từ yếu trở nên vô địch trên con đường đó có trả thù vả mặt và trang bức</t>
  </si>
  <si>
    <t>Bị Biếm Vào Phế Đan Phòng, Ta Lén Lút Vô Địch Rồi [Convert]</t>
  </si>
  <si>
    <t>Nhiệt Huyết, Vô Địch, Góc nhìn nam, Huyễn Tưởng Tu Tiên</t>
  </si>
  <si>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</si>
  <si>
    <t>https://sitruyencv.com/story/19980-bi-biem-vao-phe-dan-phong-ta-len-lut-vo-dich-roi-convert</t>
  </si>
  <si>
    <t>Ngự Thú: Tạm Ứng Tương Lai [Convert]</t>
  </si>
  <si>
    <t>Nhiệt Huyết, Ngự Thú, Góc nhìn nam, Tiến Hóa Biến Dị</t>
  </si>
  <si>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</si>
  <si>
    <t>https://sitruyencv.com/story/17306-ngu-thu-tam-ung-tuong-lai-convert</t>
  </si>
  <si>
    <t>Q070</t>
  </si>
  <si>
    <t>Tôi muốn tìm truyện có nhân vật chính thông minh và biết tính toán ẩn nhẫn</t>
  </si>
  <si>
    <t>Q071</t>
  </si>
  <si>
    <t>Tìm truyện có bối cảnh thành phố và cuộc sống hiện đại</t>
  </si>
  <si>
    <t>Ngươi Một Cái Cảnh Sát Giao Thông, Đoạt Trinh Sát Bản Án Thích Hợp Sao [Convert]</t>
  </si>
  <si>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</si>
  <si>
    <t>https://sitruyencv.com/story/15744-nguoi-mot-cai-canh-sat-giao-thong-doat-trinh-sat-ban-an-thich-hop-sao-convert</t>
  </si>
  <si>
    <t>Q072</t>
  </si>
  <si>
    <t>Tôi muốn đọc truyện về nhân vật chính có năng lực đặc biệt trong thế giới hiện đại có thêm yếu tố hack thì càng tốt</t>
  </si>
  <si>
    <t>Hoàng Đế Thế Thân: Ta Thể Chất Mỗi Ngày Gia Tăng Một Điểm [Convert]</t>
  </si>
  <si>
    <t>Nhẹ Nhàng, Đông Phương Huyền Huyễn, Góc nhìn nam</t>
  </si>
  <si>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</si>
  <si>
    <t>https://sitruyencv.com/story/10796-hoang-de-the-than-ta-the-chat-moi-ngay-gia-tang-mot-diem-convert</t>
  </si>
  <si>
    <t>Tiệm Tạp Hóa Nhỏ Thông Tận Thế: Bắt Đầu Mì Tôm Đổi Hoàng Kim [Convert]</t>
  </si>
  <si>
    <t>Nhiệt Huyết, Xuyên Qua, Góc nhìn nam, Mạt Thế Nguy Cơ</t>
  </si>
  <si>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</si>
  <si>
    <t>https://sitruyencv.com/story/13107-tiem-tap-hoa-nho-thong-tan-the-bat-dau-mi-tom-doi-hoang-kim-convert</t>
  </si>
  <si>
    <t>Q073</t>
  </si>
  <si>
    <t>Tìm truyện về main sau khi sống lại có cơ hội thay đổi cuộc đời</t>
  </si>
  <si>
    <t>Hoang Đảo Cầu Sinh, Người Hầu Của Ta Lại Mạnh Lại Manh [Convert]</t>
  </si>
  <si>
    <t>Cơ Trí, Phàm Nhân, Góc nhìn nam, Thám Hiểm Sinh Tồn</t>
  </si>
  <si>
    <t>Tai nạn trên biển phát sinh sau, mấy ngàn người táng thân biển cả, Lý Phong cùng Lâm Bình đại nạn không chết, lưu lạc đến trên hoang đảo. Đảo này rất quỷ dị, cũng rất nguy hiểm, vì sống sót, bọn hắn......</t>
  </si>
  <si>
    <t>https://sitruyencv.com/story/13222-hoang-dao-cau-sinh-nguoi-hau-cua-ta-lai-manh-lai-manh-convert</t>
  </si>
  <si>
    <t>Q074</t>
  </si>
  <si>
    <t>Tôi muốn đọc truyện về nhân vật chính xây dựng thế lực của riêng mình</t>
  </si>
  <si>
    <t>Q075</t>
  </si>
  <si>
    <t>Tìm truyện có thế giới tu tiên và nhân vật chính không ngừng mạnh lên bằng cách giết chóc</t>
  </si>
  <si>
    <t>Hải Tặc: Ta, Rocks Trên Thuyền Chiến Lực Mạnh Nhất [Convert]</t>
  </si>
  <si>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</si>
  <si>
    <t>https://sitruyencv.com/story/15086-hai-tac-ta-rocks-tren-thuyen-chien-luc-manh-nhat-convert</t>
  </si>
  <si>
    <t>Q076</t>
  </si>
  <si>
    <t>Tôi muốn đọc truyện có nhiều thế giới và nhân vật chính liên tục khám phá các thế giới đó</t>
  </si>
  <si>
    <t>Phong Thần: Cự Tuyệt Liên Ngẫu Hóa Thân [Convert]</t>
  </si>
  <si>
    <t>Cơ Trí, Trọng Sinh, Góc nhìn nam, Viễn Cổ Hồng Hoang</t>
  </si>
  <si>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</si>
  <si>
    <t>https://sitruyencv.com/story/13817-phong-than-cu-tuyet-lien-ngau-hoa-than-convert</t>
  </si>
  <si>
    <t>Ai Nói Nơi Này Có Quái Đàm ? [Convert]</t>
  </si>
  <si>
    <t>Cơ Trí, Quỷ Bí Huyền Nghi, Góc nhìn nam</t>
  </si>
  <si>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</si>
  <si>
    <t>https://sitruyencv.com/story/18090-ai-noi-noi-nay-co-quai-dam-convert</t>
  </si>
  <si>
    <t>Q077</t>
  </si>
  <si>
    <t>Tìm truyện có không khí chiến đấu sôi nổi và nhân vật chính mạnh mẽ</t>
  </si>
  <si>
    <t>Q078</t>
  </si>
  <si>
    <t>Tôi muốn đọc truyện nhẹ nhàng, không quá căng thẳng, thanh xuân vườn trường cũng ok nè</t>
  </si>
  <si>
    <t>Tà Đạo Trường Sinh, Ta Pháp Thuật Vô Hạn Thăng Cấp [Convert]</t>
  </si>
  <si>
    <t>Lãnh Khốc, Huyễn Tưởng Tu Tiên</t>
  </si>
  <si>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</si>
  <si>
    <t>https://sitruyencv.com/story/360-ta-dao-truong-sinh-ta-phap-thuat-vo-han-thang-cap-convert</t>
  </si>
  <si>
    <t>Ông Trời Đền Bù Cho Người Cần Cù: Bắt Đầu Thông Gia Nghèo Túng Thiên Kim [Convert]</t>
  </si>
  <si>
    <t>Nhẹ Nhàng, Đông Phương Huyền Huyễn, Góc nhìn nam, Thiên Tài</t>
  </si>
  <si>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</si>
  <si>
    <t>https://sitruyencv.com/story/14042-ong-troi-den-bu-cho-nguoi-can-cu-bat-dau-thong-gia-ngheo-tung-thien-kim-convert</t>
  </si>
  <si>
    <t>Q079</t>
  </si>
  <si>
    <t>Tìm truyện về nhân vật chính là thiên tài trong quá trình trưởng thành</t>
  </si>
  <si>
    <t>Q080</t>
  </si>
  <si>
    <t>Tôi muốn tìm truyện có nhân vật chính quyết đoán, mạnh mẽ và là đại phản diện</t>
  </si>
  <si>
    <t>Q081</t>
  </si>
  <si>
    <t>Tìm truyện về một thế giới cao võ, main lúc đầu liền có thiên phú sức mạnh bá đạo</t>
  </si>
  <si>
    <t>Thiên Phú Vạn Cổ Vô Song, Một Tay Quét Ngang 3000 Đế! [Convert]</t>
  </si>
  <si>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</si>
  <si>
    <t>https://sitruyencv.com/story/12247-thien-phu-van-co-vo-song-mot-tay-quet-ngang-3000-de-convert</t>
  </si>
  <si>
    <t>Khắc Kim Liền Mạnh Lên Ta, Lựa Chọn Làm Chế Dược Sư [Dịch]</t>
  </si>
  <si>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</si>
  <si>
    <t>https://sitruyencv.com/story/20403-khac-kim-lien-manh-len-ta-lua-chon-lam-che-duoc-su-dich</t>
  </si>
  <si>
    <t>Q082</t>
  </si>
  <si>
    <t xml:space="preserve">Tôi muốn tìm 1 bộ truyện đồng nhân về đấu la, main bá và có mô típ harem </t>
  </si>
  <si>
    <t>Tổng Võ: Tuyết Nguyệt Thành Mở Y Quán, Chữa Bệnh Thành Thánh! [Convert]</t>
  </si>
  <si>
    <t>Điềm Đạm, Sảng Văn, Góc nhìn nam, Võ Hiệp Huyễn Tưởng</t>
  </si>
  <si>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</si>
  <si>
    <t>https://sitruyencv.com/story/16303-tong-vo-tuyet-nguyet-thanh-mo-y-quan-chua-benh-thanh-thanh-convert</t>
  </si>
  <si>
    <t>Q083</t>
  </si>
  <si>
    <t>Tìm truyện mà vừa có hệ thống vừa phát triển thế lực, main cơ trí và có trạng thái đang ra</t>
  </si>
  <si>
    <t>Lớp Cầu Sinh: Ta Mang Nữ Đồng Học Khai Chi Tán Diệp [Convert]</t>
  </si>
  <si>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</si>
  <si>
    <t>https://sitruyencv.com/story/17802-lop-cau-sinh-ta-mang-nu-dong-hoc-khai-chi-tan-diep-convert</t>
  </si>
  <si>
    <t>Hồng Lâu: Từ Đứa Chăn Trâu Bắt Đầu! [Convert]</t>
  </si>
  <si>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</si>
  <si>
    <t>https://sitruyencv.com/story/19931-hong-lau-tu-dua-chan-trau-bat-dau-convert</t>
  </si>
  <si>
    <t>Vô Hạn Thăng Cấp: Lại Tăng Cấp Liền Muốn Cưới Nữ Ma Đầu [Convert]</t>
  </si>
  <si>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</si>
  <si>
    <t>https://sitruyencv.com/story/14711-vo-han-thang-cap-lai-tang-cap-lien-muon-cuoi-nu-ma-dau-convert</t>
  </si>
  <si>
    <t>Q084</t>
  </si>
  <si>
    <t xml:space="preserve">Tôi muốn tìm truyện đô thị nhưng nhân vật chính sở hữu năng lực đặc biệt bá đạo, vô địch lưu, ưu tiên truyện đã hoàn thành </t>
  </si>
  <si>
    <t>Hoàng Thành Bế Quan Mười Tám Năm, Nhập Thế Đã Là Hồng Trần Tiên [Convert]</t>
  </si>
  <si>
    <t>Nhiệt Huyết, Xuyên Qua, Góc nhìn nam, Vương Triều Tranh Bá</t>
  </si>
  <si>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</si>
  <si>
    <t>https://sitruyencv.com/story/18867-hoang-thanh-be-quan-muoi-tam-nam-nhap-the-da-la-hong-tran-tien-convert</t>
  </si>
  <si>
    <t>Hắc Ám Cầu Sinh: Mất Đi Nơi Ẩn Núp Sau Tự Học Thành Thần [Convert]</t>
  </si>
  <si>
    <t>Điềm Đạm, Xuyên Qua, Góc nhìn nam, Thám Hiểm Sinh Tồn</t>
  </si>
  <si>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</si>
  <si>
    <t>https://sitruyencv.com/story/13338-hac-am-cau-sinh-mat-di-noi-an-nup-sau-tu-hoc-thanh-than-convert</t>
  </si>
  <si>
    <t>Q085</t>
  </si>
  <si>
    <t>Hãy đề cử tôi truyện đồng nhân liên quan đến hải tặc hoặc là ninja, main có hệ thống phụ trợ càng tốt, đa tử đa phúc nữa có hơn 200 chương nha</t>
  </si>
  <si>
    <t>Muốn Chơi Thật Giả Thiếu Gia, Hỏi Qua Đao Của Ta Sao [Convert]</t>
  </si>
  <si>
    <t>Thiết Huyết, Xuyên Qua, Cao Võ Thế Giới, Góc nhìn nam</t>
  </si>
  <si>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</si>
  <si>
    <t>https://sitruyencv.com/story/7166-muon-choi-that-gia-thieu-gia-hoi-qua-dao-cua-ta-sao-convert</t>
  </si>
  <si>
    <t>Người Ở Hợp Hoan Tông, Bắt Đầu Trở Thành Đạo Lữ Thánh Nữ! [Convert]</t>
  </si>
  <si>
    <t>Giảo Hoạt, Xuyên Qua, Góc nhìn nam, Huyễn Tưởng Tu Tiên</t>
  </si>
  <si>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</si>
  <si>
    <t>https://sitruyencv.com/story/20022-nguoi-o-hop-hoan-tong-bat-dau-tro-thanh-dao-lu-thanh-nu-convert</t>
  </si>
  <si>
    <t>Q086</t>
  </si>
  <si>
    <t xml:space="preserve">Tìm truyện tiên hiệp nhưng không có yếu tố harem </t>
  </si>
  <si>
    <t>negative</t>
  </si>
  <si>
    <t>Tranh Thủ Lúc Các Tiên Tử Còn Yếu, Lừa Các Nàng Kết Thành Đạo Lữ [Dịch]</t>
  </si>
  <si>
    <t>Góc nhìn nam, Harem</t>
  </si>
  <si>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</si>
  <si>
    <t>https://sitruyencv.com/story/20713-tranh-thu-luc-cac-tien-tu-con-yeu-lua-cac-nang-ket-thanh-dao-lu-dich</t>
  </si>
  <si>
    <t>Q087</t>
  </si>
  <si>
    <t>Tìm truyện huyền huyễn không hệ thống, main không vô sỉ</t>
  </si>
  <si>
    <t>Q088</t>
  </si>
  <si>
    <t>Tìm cho tôi truyện đô thị không có yếu tố bật hack, nội dung thiên về làm giàu và phát triển sự nghiệp</t>
  </si>
  <si>
    <t>Đi Biển Bắt Hải Sản: Ta Dựa Vào Vô Địch Vận Khí, Nhận Thầu Toàn Bộ Biển Cả [Convert]</t>
  </si>
  <si>
    <t>Nhẹ Nhàng, Phàm Nhân, Góc nhìn nam, Đô Thị Sinh Hoạt</t>
  </si>
  <si>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</si>
  <si>
    <t>https://sitruyencv.com/story/6628-di-bien-bat-hai-san-ta-dua-vao-vo-dich-van-khi-nhan-thau-toan-bo-bien-ca-convert</t>
  </si>
  <si>
    <t>Q089</t>
  </si>
  <si>
    <t>Tìm truyện tiên hiệp có hệ thống nhưng main không phải phản diện</t>
  </si>
  <si>
    <t>Q090</t>
  </si>
  <si>
    <t>Tìm truyện huyền huyễn có hệ thống nhưng không có yếu tố ngôn tình</t>
  </si>
  <si>
    <t>Q091</t>
  </si>
  <si>
    <t>Tìm truyện xuyên không nhưng không có hệ thống và main tự lực cánh sinh</t>
  </si>
  <si>
    <t>Q092</t>
  </si>
  <si>
    <t>Truyện trọng sinh nhưng không có hệ thống</t>
  </si>
  <si>
    <t>Q093</t>
  </si>
  <si>
    <t>Tìm truyện có hệ thống nhưng không có yếu tố xuyên không</t>
  </si>
  <si>
    <t>Q094</t>
  </si>
  <si>
    <t>Tìm truyện đô thị có dị năng nhưng không có tình tiết cẩu huyết</t>
  </si>
  <si>
    <t>Toàn Dân: Phù Không Đảo Cầu Sinh, Ta Có Thể Trông Thấy Nhắc Nhở [Convert]</t>
  </si>
  <si>
    <t>Góc nhìn nam, Tu Chân Văn Minh</t>
  </si>
  <si>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</si>
  <si>
    <t>https://sitruyencv.com/story/12490-toan-dan-phu-khong-dao-cau-sinh-ta-co-the-trong-thay-nhac-nho-convert</t>
  </si>
  <si>
    <t>Q095</t>
  </si>
  <si>
    <t>Tìm truyện tu tiên nhưng không có yếu tố trọng sinh</t>
  </si>
  <si>
    <t>Q096</t>
  </si>
  <si>
    <t>Hãy rcm tôi truyện huyền huyễn nhưng không có yếu tố xuyên không và không có hệ thống</t>
  </si>
  <si>
    <t>Q097</t>
  </si>
  <si>
    <t>Tìm truyện có nhân vật chính vô địch nhưng không có hệ thống và có trạng thái đang ra</t>
  </si>
  <si>
    <t>Thái Thượng Võ Thần Quyết [Convert]</t>
  </si>
  <si>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</si>
  <si>
    <t>https://sitruyencv.com/story/18864-thai-thuong-vo-than-quyet-convert</t>
  </si>
  <si>
    <t>Q098</t>
  </si>
  <si>
    <t>Tìm truyện xây dựng thế lực nhưng không có yếu tố đô thị và có nhiều hơn 300 chương</t>
  </si>
  <si>
    <t>Q099</t>
  </si>
  <si>
    <t>Hãy đề cử cho tôi bộ có hệ thống nhưng không thuộc thể loại ngôn tình và không tập trung vào tình cảm</t>
  </si>
  <si>
    <t>Hoành Thôi Cửu Thế: Chư Vị Nữ Đế Vẫn Luôn Đợi Ta [Convert]</t>
  </si>
  <si>
    <t>Điềm Đạm, Vô Địch, Đông Phương Huyền Huyễn, Góc nhìn nam</t>
  </si>
  <si>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</si>
  <si>
    <t>https://sitruyencv.com/story/13925-hoanh-thoi-cuu-the-chu-vi-nu-de-van-luon-doi-ta-convert</t>
  </si>
  <si>
    <t>Q100</t>
  </si>
  <si>
    <t>Tôi muốn tìm truyện đô thị nhưng không có yếu tố dị năng và đặc biệt là không có tình tiết vả mặt</t>
  </si>
  <si>
    <t>Minh Châu</t>
  </si>
  <si>
    <t>mô tả có phù hợp 1 phần</t>
  </si>
  <si>
    <t>ko</t>
  </si>
  <si>
    <t>ko hợp</t>
  </si>
  <si>
    <t xml:space="preserve">thế giới khác </t>
  </si>
  <si>
    <t>tạm</t>
  </si>
  <si>
    <t>mô típ cũng khá giống</t>
  </si>
  <si>
    <t>hợp 1 phần</t>
  </si>
  <si>
    <t>ok</t>
  </si>
  <si>
    <t xml:space="preserve">tag phù hợp </t>
  </si>
  <si>
    <t>thừa nhiều dữ</t>
  </si>
  <si>
    <t>tag phù hợp</t>
  </si>
  <si>
    <t>tags phù hợp</t>
  </si>
  <si>
    <t>có hệ thống thật mà genre, tags, des ko có ghi. Tên nói lên tất cả</t>
  </si>
  <si>
    <t>des có hệ thống</t>
  </si>
  <si>
    <t>ko hệ thống</t>
  </si>
  <si>
    <t xml:space="preserve">cơ bản có hệ thống mà genre thiếu </t>
  </si>
  <si>
    <t>có liên quan đến dân gian truyền thuyết</t>
  </si>
  <si>
    <t>có liên quan lịch sử</t>
  </si>
  <si>
    <t>cổ điển tiên hiệp liên quan</t>
  </si>
  <si>
    <t>ko phù hợp</t>
  </si>
  <si>
    <t>có lịch sử nên khá phù hợp</t>
  </si>
  <si>
    <t>chưa đọc nhưng cảm giác có mà thui để 0 cho đúng chuẩn</t>
  </si>
  <si>
    <t>ko liên quan</t>
  </si>
  <si>
    <t>đọc rôi là phù hợp mà trong chỉ có des đúng nên chọn 1</t>
  </si>
  <si>
    <t>đọc rồi, chủ yếu thiên về chiến đấu hơn nhưng vẫn có yếu tố đồng văn</t>
  </si>
  <si>
    <t>des phù hợp</t>
  </si>
  <si>
    <t>tranh đấu</t>
  </si>
  <si>
    <t>chưa thấy phù hợp</t>
  </si>
  <si>
    <t>ko có yếu tố khoa</t>
  </si>
  <si>
    <t>des có yếu tố</t>
  </si>
  <si>
    <t>des có yếu tố tương tự</t>
  </si>
  <si>
    <t>đô thị dị năng</t>
  </si>
  <si>
    <t>ổn về main</t>
  </si>
  <si>
    <t>huyền huyễn hơn</t>
  </si>
  <si>
    <t>des có phù hợp</t>
  </si>
  <si>
    <t>genre gần phù hợp, mấy cái khác khá phù hợp</t>
  </si>
  <si>
    <t xml:space="preserve">có nhẹ </t>
  </si>
  <si>
    <t>phù hợp mà genre ko có nên cho 1</t>
  </si>
  <si>
    <t>ko có đáp ứng</t>
  </si>
  <si>
    <t>có tags</t>
  </si>
  <si>
    <t>tags có</t>
  </si>
  <si>
    <t>des liên quan</t>
  </si>
  <si>
    <t>đọc rồi, có dị năng mà genre ko có nên chọn 1</t>
  </si>
  <si>
    <t>chính phái</t>
  </si>
  <si>
    <t>tags có, des hợp</t>
  </si>
  <si>
    <t>des có tương tự</t>
  </si>
  <si>
    <t>truyện có thể có nhưng tiêu chí ko đáp ứng</t>
  </si>
  <si>
    <t>des và tên có tương tự</t>
  </si>
  <si>
    <t>chưa tìm thấy liên quan</t>
  </si>
  <si>
    <t>chưa phải tiên hiệp nhưng có duyên</t>
  </si>
  <si>
    <t xml:space="preserve">có yếu tố tiên hiệp </t>
  </si>
  <si>
    <t>yếu tố khá phù hợp</t>
  </si>
  <si>
    <t>chưa đáp ứng đủ chap</t>
  </si>
  <si>
    <t>ko hợp genre</t>
  </si>
  <si>
    <t>trạng thái chưa đáp ứng</t>
  </si>
  <si>
    <t xml:space="preserve">ko đúng </t>
  </si>
  <si>
    <t>hiện đại</t>
  </si>
  <si>
    <t xml:space="preserve">des phù hợp </t>
  </si>
  <si>
    <t>trạng thái chưa hợp</t>
  </si>
  <si>
    <t>thừa chương</t>
  </si>
  <si>
    <t>thừa chap</t>
  </si>
  <si>
    <t xml:space="preserve">ko hợp </t>
  </si>
  <si>
    <t>phù hợp 1 phần</t>
  </si>
  <si>
    <t>trái phía</t>
  </si>
  <si>
    <t>des có ít phù hợp</t>
  </si>
  <si>
    <t>des phù hợp 1 phần</t>
  </si>
  <si>
    <t>des phù hợp 1 ít</t>
  </si>
  <si>
    <t>trạng thái lệnh xí</t>
  </si>
  <si>
    <t>vi phạm quy tắc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</si>
</sst>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814"/>
  <sheetViews>
    <sheetView tabSelected="1" zoomScaleNormal="100" workbookViewId="0">
      <selection activeCell="H1407" sqref="H1407"/>
    </sheetView>
  </sheetViews>
  <sheetFormatPr defaultRowHeight="14.4" x14ac:dyDescent="0.3"/>
  <cols>
    <col min="2" max="2" width="49.44140625" customWidth="1"/>
    <col min="3" max="3" width="15.33203125" customWidth="1"/>
    <col min="4" max="4" width="0.44140625" customWidth="1"/>
    <col min="5" max="5" width="74.6640625" customWidth="1"/>
    <col min="6" max="6" width="71.5546875" customWidth="1"/>
    <col min="7" max="7" width="158.44140625" customWidth="1"/>
    <col min="8" max="8" width="27.44140625" customWidth="1"/>
    <col min="9" max="9" width="10.21875" customWidth="1"/>
    <col min="10" max="10" width="8" bestFit="1" customWidth="1"/>
    <col min="11" max="11" width="0.44140625" customWidth="1"/>
    <col min="12" max="13" width="1.109375" customWidth="1"/>
    <col min="14" max="14" width="0.6640625" customWidth="1"/>
    <col min="15" max="15" width="1.21875" customWidth="1"/>
    <col min="16" max="16" width="9.33203125" customWidth="1"/>
    <col min="18" max="18" width="9.6640625" bestFit="1" customWidth="1"/>
    <col min="19" max="19" width="21.441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idden="1" x14ac:dyDescent="0.3">
      <c r="A2" t="s">
        <v>19</v>
      </c>
      <c r="B2" t="s">
        <v>20</v>
      </c>
      <c r="C2" t="s">
        <v>5</v>
      </c>
      <c r="D2">
        <v>9821</v>
      </c>
      <c r="E2" t="s">
        <v>21</v>
      </c>
      <c r="F2" t="s">
        <v>22</v>
      </c>
      <c r="G2" t="s">
        <v>23</v>
      </c>
      <c r="H2" t="s">
        <v>24</v>
      </c>
      <c r="I2" t="s">
        <v>25</v>
      </c>
      <c r="J2">
        <v>998</v>
      </c>
      <c r="K2" t="s">
        <v>26</v>
      </c>
      <c r="L2">
        <v>8</v>
      </c>
      <c r="M2">
        <v>4.0286</v>
      </c>
      <c r="N2">
        <v>1</v>
      </c>
      <c r="O2">
        <v>0.4456</v>
      </c>
      <c r="P2" t="s">
        <v>27</v>
      </c>
      <c r="Q2">
        <v>2</v>
      </c>
      <c r="R2" t="s">
        <v>1272</v>
      </c>
      <c r="S2" t="s">
        <v>1280</v>
      </c>
    </row>
    <row r="3" spans="1:19" hidden="1" x14ac:dyDescent="0.3">
      <c r="A3" t="s">
        <v>19</v>
      </c>
      <c r="B3" t="s">
        <v>20</v>
      </c>
      <c r="C3" t="s">
        <v>5</v>
      </c>
      <c r="D3">
        <v>19982</v>
      </c>
      <c r="E3" t="s">
        <v>28</v>
      </c>
      <c r="F3" t="s">
        <v>22</v>
      </c>
      <c r="G3" t="s">
        <v>29</v>
      </c>
      <c r="H3" t="s">
        <v>30</v>
      </c>
      <c r="I3" t="s">
        <v>31</v>
      </c>
      <c r="J3">
        <v>543</v>
      </c>
      <c r="K3" t="s">
        <v>32</v>
      </c>
      <c r="L3">
        <v>1</v>
      </c>
      <c r="M3">
        <v>6.9344999999999999</v>
      </c>
      <c r="P3" t="s">
        <v>33</v>
      </c>
      <c r="Q3">
        <v>2</v>
      </c>
      <c r="R3" t="s">
        <v>1272</v>
      </c>
      <c r="S3" t="s">
        <v>1280</v>
      </c>
    </row>
    <row r="4" spans="1:19" hidden="1" x14ac:dyDescent="0.3">
      <c r="A4" t="s">
        <v>19</v>
      </c>
      <c r="B4" t="s">
        <v>20</v>
      </c>
      <c r="C4" t="s">
        <v>5</v>
      </c>
      <c r="D4">
        <v>17519</v>
      </c>
      <c r="E4" t="s">
        <v>34</v>
      </c>
      <c r="F4" t="s">
        <v>22</v>
      </c>
      <c r="G4" t="s">
        <v>35</v>
      </c>
      <c r="H4" t="s">
        <v>36</v>
      </c>
      <c r="I4" t="s">
        <v>25</v>
      </c>
      <c r="J4">
        <v>2690</v>
      </c>
      <c r="K4" t="s">
        <v>37</v>
      </c>
      <c r="N4">
        <v>2</v>
      </c>
      <c r="O4">
        <v>0.40770000000000001</v>
      </c>
      <c r="P4" t="s">
        <v>38</v>
      </c>
      <c r="Q4">
        <v>2</v>
      </c>
      <c r="R4" t="s">
        <v>1272</v>
      </c>
      <c r="S4" t="s">
        <v>1280</v>
      </c>
    </row>
    <row r="5" spans="1:19" hidden="1" x14ac:dyDescent="0.3">
      <c r="A5" t="s">
        <v>19</v>
      </c>
      <c r="B5" t="s">
        <v>20</v>
      </c>
      <c r="C5" t="s">
        <v>5</v>
      </c>
      <c r="D5">
        <v>20789</v>
      </c>
      <c r="E5" t="s">
        <v>39</v>
      </c>
      <c r="F5" t="s">
        <v>40</v>
      </c>
      <c r="G5" t="s">
        <v>41</v>
      </c>
      <c r="H5" t="s">
        <v>42</v>
      </c>
      <c r="I5" t="s">
        <v>25</v>
      </c>
      <c r="J5">
        <v>810</v>
      </c>
      <c r="K5" t="s">
        <v>43</v>
      </c>
      <c r="L5">
        <v>2</v>
      </c>
      <c r="M5">
        <v>6.1326999999999998</v>
      </c>
      <c r="P5" t="s">
        <v>33</v>
      </c>
      <c r="Q5">
        <v>2</v>
      </c>
      <c r="R5" t="s">
        <v>1272</v>
      </c>
      <c r="S5" t="s">
        <v>1280</v>
      </c>
    </row>
    <row r="6" spans="1:19" hidden="1" x14ac:dyDescent="0.3">
      <c r="A6" t="s">
        <v>19</v>
      </c>
      <c r="B6" t="s">
        <v>20</v>
      </c>
      <c r="C6" t="s">
        <v>5</v>
      </c>
      <c r="D6">
        <v>19317</v>
      </c>
      <c r="E6" t="s">
        <v>44</v>
      </c>
      <c r="F6" t="s">
        <v>45</v>
      </c>
      <c r="G6" t="s">
        <v>46</v>
      </c>
      <c r="H6" t="s">
        <v>47</v>
      </c>
      <c r="I6" t="s">
        <v>31</v>
      </c>
      <c r="J6">
        <v>4168</v>
      </c>
      <c r="K6" t="s">
        <v>48</v>
      </c>
      <c r="L6">
        <v>3</v>
      </c>
      <c r="M6">
        <v>6.0723000000000003</v>
      </c>
      <c r="N6">
        <v>6</v>
      </c>
      <c r="O6">
        <v>0.39679999999999999</v>
      </c>
      <c r="P6" t="s">
        <v>27</v>
      </c>
      <c r="Q6">
        <v>2</v>
      </c>
      <c r="R6" t="s">
        <v>1272</v>
      </c>
      <c r="S6" t="s">
        <v>1280</v>
      </c>
    </row>
    <row r="7" spans="1:19" hidden="1" x14ac:dyDescent="0.3">
      <c r="A7" t="s">
        <v>19</v>
      </c>
      <c r="B7" t="s">
        <v>20</v>
      </c>
      <c r="C7" t="s">
        <v>5</v>
      </c>
      <c r="D7">
        <v>20259</v>
      </c>
      <c r="E7" t="s">
        <v>49</v>
      </c>
      <c r="F7" t="s">
        <v>50</v>
      </c>
      <c r="G7" t="s">
        <v>51</v>
      </c>
      <c r="H7" t="s">
        <v>52</v>
      </c>
      <c r="I7" t="s">
        <v>25</v>
      </c>
      <c r="J7">
        <v>313</v>
      </c>
      <c r="K7" t="s">
        <v>53</v>
      </c>
      <c r="N7">
        <v>3</v>
      </c>
      <c r="O7">
        <v>0.40060000000000001</v>
      </c>
      <c r="P7" t="s">
        <v>38</v>
      </c>
      <c r="Q7">
        <v>2</v>
      </c>
      <c r="R7" t="s">
        <v>1272</v>
      </c>
      <c r="S7" t="s">
        <v>1280</v>
      </c>
    </row>
    <row r="8" spans="1:19" hidden="1" x14ac:dyDescent="0.3">
      <c r="A8" t="s">
        <v>19</v>
      </c>
      <c r="B8" t="s">
        <v>20</v>
      </c>
      <c r="C8" t="s">
        <v>5</v>
      </c>
      <c r="D8">
        <v>4828</v>
      </c>
      <c r="E8" t="s">
        <v>54</v>
      </c>
      <c r="F8" t="s">
        <v>55</v>
      </c>
      <c r="G8" t="s">
        <v>56</v>
      </c>
      <c r="H8" t="s">
        <v>57</v>
      </c>
      <c r="I8" t="s">
        <v>25</v>
      </c>
      <c r="J8">
        <v>546</v>
      </c>
      <c r="K8" t="s">
        <v>58</v>
      </c>
      <c r="L8">
        <v>4</v>
      </c>
      <c r="M8">
        <v>5.4095000000000004</v>
      </c>
      <c r="P8" t="s">
        <v>33</v>
      </c>
      <c r="Q8">
        <v>0</v>
      </c>
      <c r="R8" t="s">
        <v>1272</v>
      </c>
      <c r="S8" t="s">
        <v>1274</v>
      </c>
    </row>
    <row r="9" spans="1:19" hidden="1" x14ac:dyDescent="0.3">
      <c r="A9" t="s">
        <v>19</v>
      </c>
      <c r="B9" t="s">
        <v>20</v>
      </c>
      <c r="C9" t="s">
        <v>5</v>
      </c>
      <c r="D9">
        <v>15013</v>
      </c>
      <c r="E9" t="s">
        <v>59</v>
      </c>
      <c r="F9" t="s">
        <v>60</v>
      </c>
      <c r="G9" t="s">
        <v>61</v>
      </c>
      <c r="H9" t="s">
        <v>62</v>
      </c>
      <c r="I9" t="s">
        <v>25</v>
      </c>
      <c r="J9">
        <v>550</v>
      </c>
      <c r="K9" t="s">
        <v>63</v>
      </c>
      <c r="N9">
        <v>4</v>
      </c>
      <c r="O9">
        <v>0.39839999999999998</v>
      </c>
      <c r="P9" t="s">
        <v>38</v>
      </c>
      <c r="Q9">
        <v>1</v>
      </c>
      <c r="R9" t="s">
        <v>1272</v>
      </c>
      <c r="S9" t="s">
        <v>1273</v>
      </c>
    </row>
    <row r="10" spans="1:19" hidden="1" x14ac:dyDescent="0.3">
      <c r="A10" t="s">
        <v>19</v>
      </c>
      <c r="B10" t="s">
        <v>20</v>
      </c>
      <c r="C10" t="s">
        <v>5</v>
      </c>
      <c r="D10">
        <v>13514</v>
      </c>
      <c r="E10" t="s">
        <v>64</v>
      </c>
      <c r="F10" t="s">
        <v>60</v>
      </c>
      <c r="G10" t="s">
        <v>65</v>
      </c>
      <c r="H10" t="s">
        <v>66</v>
      </c>
      <c r="I10" t="s">
        <v>31</v>
      </c>
      <c r="J10">
        <v>587</v>
      </c>
      <c r="K10" t="s">
        <v>67</v>
      </c>
      <c r="N10">
        <v>5</v>
      </c>
      <c r="O10">
        <v>0.3977</v>
      </c>
      <c r="P10" t="s">
        <v>38</v>
      </c>
      <c r="Q10">
        <v>1</v>
      </c>
      <c r="R10" t="s">
        <v>1272</v>
      </c>
      <c r="S10" t="s">
        <v>1277</v>
      </c>
    </row>
    <row r="11" spans="1:19" hidden="1" x14ac:dyDescent="0.3">
      <c r="A11" t="s">
        <v>19</v>
      </c>
      <c r="B11" t="s">
        <v>20</v>
      </c>
      <c r="C11" t="s">
        <v>5</v>
      </c>
      <c r="D11">
        <v>18937</v>
      </c>
      <c r="E11" t="s">
        <v>68</v>
      </c>
      <c r="F11" t="s">
        <v>69</v>
      </c>
      <c r="G11" t="s">
        <v>70</v>
      </c>
      <c r="H11" t="s">
        <v>71</v>
      </c>
      <c r="I11" t="s">
        <v>31</v>
      </c>
      <c r="J11">
        <v>3317</v>
      </c>
      <c r="K11" t="s">
        <v>72</v>
      </c>
      <c r="L11">
        <v>5</v>
      </c>
      <c r="M11">
        <v>4.9154999999999998</v>
      </c>
      <c r="P11" t="s">
        <v>33</v>
      </c>
      <c r="Q11">
        <v>2</v>
      </c>
      <c r="R11" t="s">
        <v>1272</v>
      </c>
      <c r="S11" t="s">
        <v>1280</v>
      </c>
    </row>
    <row r="12" spans="1:19" hidden="1" x14ac:dyDescent="0.3">
      <c r="A12" t="s">
        <v>19</v>
      </c>
      <c r="B12" t="s">
        <v>20</v>
      </c>
      <c r="C12" t="s">
        <v>5</v>
      </c>
      <c r="D12">
        <v>14198</v>
      </c>
      <c r="E12" t="s">
        <v>73</v>
      </c>
      <c r="F12" t="s">
        <v>74</v>
      </c>
      <c r="G12" t="s">
        <v>75</v>
      </c>
      <c r="H12" t="s">
        <v>76</v>
      </c>
      <c r="I12" t="s">
        <v>31</v>
      </c>
      <c r="J12">
        <v>377</v>
      </c>
      <c r="K12" t="s">
        <v>77</v>
      </c>
      <c r="L12">
        <v>6</v>
      </c>
      <c r="M12">
        <v>4.7725999999999997</v>
      </c>
      <c r="P12" t="s">
        <v>33</v>
      </c>
      <c r="Q12">
        <v>0</v>
      </c>
      <c r="R12" t="s">
        <v>1272</v>
      </c>
      <c r="S12" t="s">
        <v>1276</v>
      </c>
    </row>
    <row r="13" spans="1:19" hidden="1" x14ac:dyDescent="0.3">
      <c r="A13" t="s">
        <v>19</v>
      </c>
      <c r="B13" t="s">
        <v>20</v>
      </c>
      <c r="C13" t="s">
        <v>5</v>
      </c>
      <c r="D13">
        <v>13674</v>
      </c>
      <c r="E13" t="s">
        <v>78</v>
      </c>
      <c r="F13" t="s">
        <v>22</v>
      </c>
      <c r="G13" t="s">
        <v>79</v>
      </c>
      <c r="H13" t="s">
        <v>80</v>
      </c>
      <c r="I13" t="s">
        <v>31</v>
      </c>
      <c r="J13">
        <v>1127</v>
      </c>
      <c r="K13" t="s">
        <v>81</v>
      </c>
      <c r="N13">
        <v>7</v>
      </c>
      <c r="O13">
        <v>0.3957</v>
      </c>
      <c r="P13" t="s">
        <v>38</v>
      </c>
      <c r="Q13">
        <v>2</v>
      </c>
      <c r="R13" t="s">
        <v>1272</v>
      </c>
      <c r="S13" t="s">
        <v>1280</v>
      </c>
    </row>
    <row r="14" spans="1:19" hidden="1" x14ac:dyDescent="0.3">
      <c r="A14" t="s">
        <v>19</v>
      </c>
      <c r="B14" t="s">
        <v>20</v>
      </c>
      <c r="C14" t="s">
        <v>5</v>
      </c>
      <c r="D14">
        <v>19173</v>
      </c>
      <c r="E14" t="s">
        <v>82</v>
      </c>
      <c r="F14" t="s">
        <v>22</v>
      </c>
      <c r="G14" t="s">
        <v>83</v>
      </c>
      <c r="H14" t="s">
        <v>84</v>
      </c>
      <c r="I14" t="s">
        <v>31</v>
      </c>
      <c r="J14">
        <v>356</v>
      </c>
      <c r="K14" t="s">
        <v>85</v>
      </c>
      <c r="L14">
        <v>7</v>
      </c>
      <c r="M14">
        <v>4.0420999999999996</v>
      </c>
      <c r="P14" t="s">
        <v>33</v>
      </c>
      <c r="Q14">
        <v>2</v>
      </c>
      <c r="R14" t="s">
        <v>1272</v>
      </c>
      <c r="S14" t="s">
        <v>1280</v>
      </c>
    </row>
    <row r="15" spans="1:19" hidden="1" x14ac:dyDescent="0.3">
      <c r="A15" t="s">
        <v>19</v>
      </c>
      <c r="B15" t="s">
        <v>20</v>
      </c>
      <c r="C15" t="s">
        <v>5</v>
      </c>
      <c r="D15">
        <v>18885</v>
      </c>
      <c r="E15" t="s">
        <v>86</v>
      </c>
      <c r="F15" t="s">
        <v>60</v>
      </c>
      <c r="G15" t="s">
        <v>87</v>
      </c>
      <c r="H15" t="s">
        <v>88</v>
      </c>
      <c r="I15" t="s">
        <v>31</v>
      </c>
      <c r="J15">
        <v>596</v>
      </c>
      <c r="K15" t="s">
        <v>89</v>
      </c>
      <c r="N15">
        <v>8</v>
      </c>
      <c r="O15">
        <v>0.39269999999999999</v>
      </c>
      <c r="P15" t="s">
        <v>38</v>
      </c>
      <c r="Q15">
        <v>1</v>
      </c>
      <c r="R15" t="s">
        <v>1272</v>
      </c>
      <c r="S15" t="s">
        <v>1278</v>
      </c>
    </row>
    <row r="16" spans="1:19" hidden="1" x14ac:dyDescent="0.3">
      <c r="A16" t="s">
        <v>19</v>
      </c>
      <c r="B16" t="s">
        <v>20</v>
      </c>
      <c r="C16" t="s">
        <v>5</v>
      </c>
      <c r="D16">
        <v>12297</v>
      </c>
      <c r="E16" t="s">
        <v>90</v>
      </c>
      <c r="F16" t="s">
        <v>22</v>
      </c>
      <c r="G16" t="s">
        <v>91</v>
      </c>
      <c r="H16" t="s">
        <v>92</v>
      </c>
      <c r="I16" t="s">
        <v>31</v>
      </c>
      <c r="J16">
        <v>4056</v>
      </c>
      <c r="K16" t="s">
        <v>93</v>
      </c>
      <c r="L16">
        <v>9</v>
      </c>
      <c r="M16">
        <v>3.9195000000000002</v>
      </c>
      <c r="P16" t="s">
        <v>33</v>
      </c>
      <c r="Q16">
        <v>2</v>
      </c>
      <c r="R16" t="s">
        <v>1272</v>
      </c>
      <c r="S16" t="s">
        <v>1280</v>
      </c>
    </row>
    <row r="17" spans="1:19" hidden="1" x14ac:dyDescent="0.3">
      <c r="A17" t="s">
        <v>19</v>
      </c>
      <c r="B17" t="s">
        <v>20</v>
      </c>
      <c r="C17" t="s">
        <v>5</v>
      </c>
      <c r="D17">
        <v>20803</v>
      </c>
      <c r="E17" t="s">
        <v>94</v>
      </c>
      <c r="F17" t="s">
        <v>95</v>
      </c>
      <c r="G17" t="s">
        <v>96</v>
      </c>
      <c r="H17" t="s">
        <v>97</v>
      </c>
      <c r="I17" t="s">
        <v>31</v>
      </c>
      <c r="J17">
        <v>100</v>
      </c>
      <c r="K17" t="s">
        <v>98</v>
      </c>
      <c r="N17">
        <v>9</v>
      </c>
      <c r="O17">
        <v>0.38700000000000001</v>
      </c>
      <c r="P17" t="s">
        <v>38</v>
      </c>
      <c r="Q17">
        <v>2</v>
      </c>
      <c r="R17" t="s">
        <v>1272</v>
      </c>
      <c r="S17" t="s">
        <v>1280</v>
      </c>
    </row>
    <row r="18" spans="1:19" hidden="1" x14ac:dyDescent="0.3">
      <c r="A18" t="s">
        <v>19</v>
      </c>
      <c r="B18" t="s">
        <v>20</v>
      </c>
      <c r="C18" t="s">
        <v>5</v>
      </c>
      <c r="D18">
        <v>39</v>
      </c>
      <c r="E18" t="s">
        <v>99</v>
      </c>
      <c r="F18" t="s">
        <v>22</v>
      </c>
      <c r="G18" t="s">
        <v>22</v>
      </c>
      <c r="H18" t="s">
        <v>100</v>
      </c>
      <c r="I18" t="s">
        <v>31</v>
      </c>
      <c r="J18">
        <v>963</v>
      </c>
      <c r="K18" t="s">
        <v>101</v>
      </c>
      <c r="L18">
        <v>10</v>
      </c>
      <c r="M18">
        <v>3.8599000000000001</v>
      </c>
      <c r="P18" t="s">
        <v>33</v>
      </c>
      <c r="Q18">
        <v>2</v>
      </c>
      <c r="R18" t="s">
        <v>1272</v>
      </c>
      <c r="S18" t="s">
        <v>1280</v>
      </c>
    </row>
    <row r="19" spans="1:19" hidden="1" x14ac:dyDescent="0.3">
      <c r="A19" t="s">
        <v>19</v>
      </c>
      <c r="B19" t="s">
        <v>20</v>
      </c>
      <c r="C19" t="s">
        <v>5</v>
      </c>
      <c r="D19">
        <v>171</v>
      </c>
      <c r="E19" t="s">
        <v>102</v>
      </c>
      <c r="F19" t="s">
        <v>103</v>
      </c>
      <c r="G19" t="s">
        <v>104</v>
      </c>
      <c r="H19" t="s">
        <v>105</v>
      </c>
      <c r="I19" t="s">
        <v>31</v>
      </c>
      <c r="J19">
        <v>474</v>
      </c>
      <c r="K19" t="s">
        <v>106</v>
      </c>
      <c r="N19">
        <v>10</v>
      </c>
      <c r="O19">
        <v>0.38640000000000002</v>
      </c>
      <c r="P19" t="s">
        <v>38</v>
      </c>
      <c r="Q19">
        <v>0</v>
      </c>
      <c r="R19" t="s">
        <v>1272</v>
      </c>
      <c r="S19" t="s">
        <v>1275</v>
      </c>
    </row>
    <row r="20" spans="1:19" hidden="1" x14ac:dyDescent="0.3">
      <c r="A20" t="s">
        <v>107</v>
      </c>
      <c r="B20" t="s">
        <v>108</v>
      </c>
      <c r="C20" t="s">
        <v>5</v>
      </c>
      <c r="D20">
        <v>13514</v>
      </c>
      <c r="E20" t="s">
        <v>64</v>
      </c>
      <c r="F20" t="s">
        <v>60</v>
      </c>
      <c r="G20" t="s">
        <v>65</v>
      </c>
      <c r="H20" t="s">
        <v>66</v>
      </c>
      <c r="I20" t="s">
        <v>31</v>
      </c>
      <c r="J20">
        <v>587</v>
      </c>
      <c r="K20" t="s">
        <v>67</v>
      </c>
      <c r="N20">
        <v>1</v>
      </c>
      <c r="O20">
        <v>0.45279999999999998</v>
      </c>
      <c r="P20" t="s">
        <v>38</v>
      </c>
      <c r="Q20">
        <v>2</v>
      </c>
      <c r="R20" t="s">
        <v>1272</v>
      </c>
      <c r="S20" t="s">
        <v>1280</v>
      </c>
    </row>
    <row r="21" spans="1:19" hidden="1" x14ac:dyDescent="0.3">
      <c r="A21" t="s">
        <v>107</v>
      </c>
      <c r="B21" t="s">
        <v>108</v>
      </c>
      <c r="C21" t="s">
        <v>5</v>
      </c>
      <c r="D21">
        <v>14198</v>
      </c>
      <c r="E21" t="s">
        <v>73</v>
      </c>
      <c r="F21" t="s">
        <v>74</v>
      </c>
      <c r="G21" t="s">
        <v>75</v>
      </c>
      <c r="H21" t="s">
        <v>76</v>
      </c>
      <c r="I21" t="s">
        <v>31</v>
      </c>
      <c r="J21">
        <v>377</v>
      </c>
      <c r="K21" t="s">
        <v>77</v>
      </c>
      <c r="L21">
        <v>1</v>
      </c>
      <c r="M21">
        <v>4.1349</v>
      </c>
      <c r="P21" t="s">
        <v>33</v>
      </c>
      <c r="Q21">
        <v>1</v>
      </c>
      <c r="R21" t="s">
        <v>1272</v>
      </c>
      <c r="S21" t="s">
        <v>1279</v>
      </c>
    </row>
    <row r="22" spans="1:19" hidden="1" x14ac:dyDescent="0.3">
      <c r="A22" t="s">
        <v>107</v>
      </c>
      <c r="B22" t="s">
        <v>108</v>
      </c>
      <c r="C22" t="s">
        <v>5</v>
      </c>
      <c r="D22">
        <v>19982</v>
      </c>
      <c r="E22" t="s">
        <v>28</v>
      </c>
      <c r="F22" t="s">
        <v>22</v>
      </c>
      <c r="G22" t="s">
        <v>29</v>
      </c>
      <c r="H22" t="s">
        <v>30</v>
      </c>
      <c r="I22" t="s">
        <v>31</v>
      </c>
      <c r="J22">
        <v>543</v>
      </c>
      <c r="K22" t="s">
        <v>32</v>
      </c>
      <c r="L22">
        <v>2</v>
      </c>
      <c r="M22">
        <v>3.8296000000000001</v>
      </c>
      <c r="P22" t="s">
        <v>33</v>
      </c>
      <c r="Q22">
        <v>1</v>
      </c>
      <c r="R22" t="s">
        <v>1272</v>
      </c>
      <c r="S22" t="s">
        <v>1279</v>
      </c>
    </row>
    <row r="23" spans="1:19" hidden="1" x14ac:dyDescent="0.3">
      <c r="A23" t="s">
        <v>107</v>
      </c>
      <c r="B23" t="s">
        <v>108</v>
      </c>
      <c r="C23" t="s">
        <v>5</v>
      </c>
      <c r="D23">
        <v>20773</v>
      </c>
      <c r="E23" t="s">
        <v>109</v>
      </c>
      <c r="F23" t="s">
        <v>60</v>
      </c>
      <c r="G23" t="s">
        <v>41</v>
      </c>
      <c r="H23" t="s">
        <v>110</v>
      </c>
      <c r="I23" t="s">
        <v>25</v>
      </c>
      <c r="J23">
        <v>1156</v>
      </c>
      <c r="K23" t="s">
        <v>111</v>
      </c>
      <c r="N23">
        <v>2</v>
      </c>
      <c r="O23">
        <v>0.45200000000000001</v>
      </c>
      <c r="P23" t="s">
        <v>38</v>
      </c>
      <c r="Q23">
        <v>2</v>
      </c>
      <c r="R23" t="s">
        <v>1272</v>
      </c>
      <c r="S23" t="s">
        <v>1280</v>
      </c>
    </row>
    <row r="24" spans="1:19" hidden="1" x14ac:dyDescent="0.3">
      <c r="A24" t="s">
        <v>107</v>
      </c>
      <c r="B24" t="s">
        <v>108</v>
      </c>
      <c r="C24" t="s">
        <v>5</v>
      </c>
      <c r="D24">
        <v>13681</v>
      </c>
      <c r="E24" t="s">
        <v>112</v>
      </c>
      <c r="F24" t="s">
        <v>74</v>
      </c>
      <c r="G24" t="s">
        <v>113</v>
      </c>
      <c r="H24" t="s">
        <v>114</v>
      </c>
      <c r="I24" t="s">
        <v>31</v>
      </c>
      <c r="J24">
        <v>580</v>
      </c>
      <c r="K24" t="s">
        <v>115</v>
      </c>
      <c r="L24">
        <v>3</v>
      </c>
      <c r="M24">
        <v>3.5142000000000002</v>
      </c>
      <c r="P24" t="s">
        <v>33</v>
      </c>
      <c r="Q24">
        <v>0</v>
      </c>
      <c r="R24" t="s">
        <v>1272</v>
      </c>
      <c r="S24" t="s">
        <v>1274</v>
      </c>
    </row>
    <row r="25" spans="1:19" hidden="1" x14ac:dyDescent="0.3">
      <c r="A25" t="s">
        <v>107</v>
      </c>
      <c r="B25" t="s">
        <v>108</v>
      </c>
      <c r="C25" t="s">
        <v>5</v>
      </c>
      <c r="D25">
        <v>18703</v>
      </c>
      <c r="E25" t="s">
        <v>116</v>
      </c>
      <c r="F25" t="s">
        <v>117</v>
      </c>
      <c r="G25" t="s">
        <v>118</v>
      </c>
      <c r="H25" t="s">
        <v>119</v>
      </c>
      <c r="I25" t="s">
        <v>31</v>
      </c>
      <c r="J25">
        <v>303</v>
      </c>
      <c r="K25" t="s">
        <v>120</v>
      </c>
      <c r="N25">
        <v>3</v>
      </c>
      <c r="O25">
        <v>0.44579999999999997</v>
      </c>
      <c r="P25" t="s">
        <v>38</v>
      </c>
      <c r="Q25">
        <v>1</v>
      </c>
      <c r="R25" t="s">
        <v>1272</v>
      </c>
      <c r="S25" t="s">
        <v>1279</v>
      </c>
    </row>
    <row r="26" spans="1:19" hidden="1" x14ac:dyDescent="0.3">
      <c r="A26" t="s">
        <v>107</v>
      </c>
      <c r="B26" t="s">
        <v>108</v>
      </c>
      <c r="C26" t="s">
        <v>5</v>
      </c>
      <c r="D26">
        <v>12068</v>
      </c>
      <c r="E26" t="s">
        <v>121</v>
      </c>
      <c r="F26" t="s">
        <v>60</v>
      </c>
      <c r="G26" t="s">
        <v>122</v>
      </c>
      <c r="H26" t="s">
        <v>123</v>
      </c>
      <c r="I26" t="s">
        <v>31</v>
      </c>
      <c r="J26">
        <v>7237</v>
      </c>
      <c r="K26" t="s">
        <v>124</v>
      </c>
      <c r="N26">
        <v>4</v>
      </c>
      <c r="O26">
        <v>0.43020000000000003</v>
      </c>
      <c r="P26" t="s">
        <v>38</v>
      </c>
      <c r="Q26">
        <v>2</v>
      </c>
      <c r="R26" t="s">
        <v>1272</v>
      </c>
      <c r="S26" t="s">
        <v>1280</v>
      </c>
    </row>
    <row r="27" spans="1:19" hidden="1" x14ac:dyDescent="0.3">
      <c r="A27" t="s">
        <v>107</v>
      </c>
      <c r="B27" t="s">
        <v>108</v>
      </c>
      <c r="C27" t="s">
        <v>5</v>
      </c>
      <c r="D27">
        <v>12764</v>
      </c>
      <c r="E27" t="s">
        <v>125</v>
      </c>
      <c r="F27" t="s">
        <v>60</v>
      </c>
      <c r="G27" t="s">
        <v>126</v>
      </c>
      <c r="H27" t="s">
        <v>127</v>
      </c>
      <c r="I27" t="s">
        <v>31</v>
      </c>
      <c r="J27">
        <v>442</v>
      </c>
      <c r="K27" t="s">
        <v>128</v>
      </c>
      <c r="L27">
        <v>4</v>
      </c>
      <c r="M27">
        <v>3.1114000000000002</v>
      </c>
      <c r="P27" t="s">
        <v>33</v>
      </c>
      <c r="Q27">
        <v>2</v>
      </c>
      <c r="R27" t="s">
        <v>1272</v>
      </c>
      <c r="S27" t="s">
        <v>1280</v>
      </c>
    </row>
    <row r="28" spans="1:19" hidden="1" x14ac:dyDescent="0.3">
      <c r="A28" t="s">
        <v>107</v>
      </c>
      <c r="B28" t="s">
        <v>108</v>
      </c>
      <c r="C28" t="s">
        <v>5</v>
      </c>
      <c r="D28">
        <v>16838</v>
      </c>
      <c r="E28" t="s">
        <v>129</v>
      </c>
      <c r="F28" t="s">
        <v>60</v>
      </c>
      <c r="G28" t="s">
        <v>130</v>
      </c>
      <c r="H28" t="s">
        <v>131</v>
      </c>
      <c r="I28" t="s">
        <v>31</v>
      </c>
      <c r="J28">
        <v>3435</v>
      </c>
      <c r="K28" t="s">
        <v>132</v>
      </c>
      <c r="L28">
        <v>5</v>
      </c>
      <c r="M28">
        <v>3.0470000000000002</v>
      </c>
      <c r="P28" t="s">
        <v>33</v>
      </c>
      <c r="Q28">
        <v>2</v>
      </c>
      <c r="R28" t="s">
        <v>1272</v>
      </c>
      <c r="S28" t="s">
        <v>1280</v>
      </c>
    </row>
    <row r="29" spans="1:19" hidden="1" x14ac:dyDescent="0.3">
      <c r="A29" t="s">
        <v>107</v>
      </c>
      <c r="B29" t="s">
        <v>108</v>
      </c>
      <c r="C29" t="s">
        <v>5</v>
      </c>
      <c r="D29">
        <v>18885</v>
      </c>
      <c r="E29" t="s">
        <v>86</v>
      </c>
      <c r="F29" t="s">
        <v>60</v>
      </c>
      <c r="G29" t="s">
        <v>87</v>
      </c>
      <c r="H29" t="s">
        <v>88</v>
      </c>
      <c r="I29" t="s">
        <v>31</v>
      </c>
      <c r="J29">
        <v>596</v>
      </c>
      <c r="K29" t="s">
        <v>89</v>
      </c>
      <c r="N29">
        <v>5</v>
      </c>
      <c r="O29">
        <v>0.4289</v>
      </c>
      <c r="P29" t="s">
        <v>38</v>
      </c>
      <c r="Q29">
        <v>2</v>
      </c>
      <c r="R29" t="s">
        <v>1272</v>
      </c>
      <c r="S29" t="s">
        <v>1280</v>
      </c>
    </row>
    <row r="30" spans="1:19" hidden="1" x14ac:dyDescent="0.3">
      <c r="A30" t="s">
        <v>107</v>
      </c>
      <c r="B30" t="s">
        <v>108</v>
      </c>
      <c r="C30" t="s">
        <v>5</v>
      </c>
      <c r="D30">
        <v>11918</v>
      </c>
      <c r="E30" t="s">
        <v>133</v>
      </c>
      <c r="F30" t="s">
        <v>60</v>
      </c>
      <c r="G30" t="s">
        <v>134</v>
      </c>
      <c r="H30" t="s">
        <v>135</v>
      </c>
      <c r="I30" t="s">
        <v>25</v>
      </c>
      <c r="J30">
        <v>3604</v>
      </c>
      <c r="K30" t="s">
        <v>136</v>
      </c>
      <c r="N30">
        <v>6</v>
      </c>
      <c r="O30">
        <v>0.42580000000000001</v>
      </c>
      <c r="P30" t="s">
        <v>38</v>
      </c>
      <c r="Q30">
        <v>2</v>
      </c>
      <c r="R30" t="s">
        <v>1272</v>
      </c>
      <c r="S30" t="s">
        <v>1280</v>
      </c>
    </row>
    <row r="31" spans="1:19" hidden="1" x14ac:dyDescent="0.3">
      <c r="A31" t="s">
        <v>107</v>
      </c>
      <c r="B31" t="s">
        <v>108</v>
      </c>
      <c r="C31" t="s">
        <v>5</v>
      </c>
      <c r="D31">
        <v>13237</v>
      </c>
      <c r="E31" t="s">
        <v>137</v>
      </c>
      <c r="F31" t="s">
        <v>60</v>
      </c>
      <c r="G31" t="s">
        <v>138</v>
      </c>
      <c r="H31" t="s">
        <v>139</v>
      </c>
      <c r="I31" t="s">
        <v>31</v>
      </c>
      <c r="J31">
        <v>1213</v>
      </c>
      <c r="K31" t="s">
        <v>140</v>
      </c>
      <c r="L31">
        <v>6</v>
      </c>
      <c r="M31">
        <v>3.0343</v>
      </c>
      <c r="P31" t="s">
        <v>33</v>
      </c>
      <c r="Q31">
        <v>2</v>
      </c>
      <c r="R31" t="s">
        <v>1272</v>
      </c>
      <c r="S31" t="s">
        <v>1280</v>
      </c>
    </row>
    <row r="32" spans="1:19" hidden="1" x14ac:dyDescent="0.3">
      <c r="A32" t="s">
        <v>107</v>
      </c>
      <c r="B32" t="s">
        <v>108</v>
      </c>
      <c r="C32" t="s">
        <v>5</v>
      </c>
      <c r="D32">
        <v>18262</v>
      </c>
      <c r="E32" t="s">
        <v>141</v>
      </c>
      <c r="F32" t="s">
        <v>142</v>
      </c>
      <c r="G32" t="s">
        <v>143</v>
      </c>
      <c r="H32" t="s">
        <v>144</v>
      </c>
      <c r="I32" t="s">
        <v>25</v>
      </c>
      <c r="J32">
        <v>426</v>
      </c>
      <c r="K32" t="s">
        <v>145</v>
      </c>
      <c r="N32">
        <v>7</v>
      </c>
      <c r="O32">
        <v>0.42549999999999999</v>
      </c>
      <c r="P32" t="s">
        <v>38</v>
      </c>
      <c r="Q32">
        <v>1</v>
      </c>
      <c r="R32" t="s">
        <v>1272</v>
      </c>
      <c r="S32" t="s">
        <v>1279</v>
      </c>
    </row>
    <row r="33" spans="1:19" hidden="1" x14ac:dyDescent="0.3">
      <c r="A33" t="s">
        <v>107</v>
      </c>
      <c r="B33" t="s">
        <v>108</v>
      </c>
      <c r="C33" t="s">
        <v>5</v>
      </c>
      <c r="D33">
        <v>19317</v>
      </c>
      <c r="E33" t="s">
        <v>44</v>
      </c>
      <c r="F33" t="s">
        <v>45</v>
      </c>
      <c r="G33" t="s">
        <v>46</v>
      </c>
      <c r="H33" t="s">
        <v>47</v>
      </c>
      <c r="I33" t="s">
        <v>31</v>
      </c>
      <c r="J33">
        <v>4168</v>
      </c>
      <c r="K33" t="s">
        <v>48</v>
      </c>
      <c r="L33">
        <v>7</v>
      </c>
      <c r="M33">
        <v>3.0146000000000002</v>
      </c>
      <c r="P33" t="s">
        <v>33</v>
      </c>
      <c r="Q33">
        <v>2</v>
      </c>
      <c r="R33" t="s">
        <v>1272</v>
      </c>
      <c r="S33" t="s">
        <v>1280</v>
      </c>
    </row>
    <row r="34" spans="1:19" hidden="1" x14ac:dyDescent="0.3">
      <c r="A34" t="s">
        <v>107</v>
      </c>
      <c r="B34" t="s">
        <v>108</v>
      </c>
      <c r="C34" t="s">
        <v>5</v>
      </c>
      <c r="D34">
        <v>171</v>
      </c>
      <c r="E34" t="s">
        <v>102</v>
      </c>
      <c r="F34" t="s">
        <v>103</v>
      </c>
      <c r="G34" t="s">
        <v>104</v>
      </c>
      <c r="H34" t="s">
        <v>105</v>
      </c>
      <c r="I34" t="s">
        <v>31</v>
      </c>
      <c r="J34">
        <v>474</v>
      </c>
      <c r="K34" t="s">
        <v>106</v>
      </c>
      <c r="N34">
        <v>8</v>
      </c>
      <c r="O34">
        <v>0.42430000000000001</v>
      </c>
      <c r="P34" t="s">
        <v>38</v>
      </c>
      <c r="Q34">
        <v>1</v>
      </c>
      <c r="R34" t="s">
        <v>1272</v>
      </c>
      <c r="S34" t="s">
        <v>1279</v>
      </c>
    </row>
    <row r="35" spans="1:19" hidden="1" x14ac:dyDescent="0.3">
      <c r="A35" t="s">
        <v>107</v>
      </c>
      <c r="B35" t="s">
        <v>108</v>
      </c>
      <c r="C35" t="s">
        <v>5</v>
      </c>
      <c r="D35">
        <v>19625</v>
      </c>
      <c r="E35" t="s">
        <v>146</v>
      </c>
      <c r="F35" t="s">
        <v>60</v>
      </c>
      <c r="G35" t="s">
        <v>147</v>
      </c>
      <c r="H35" t="s">
        <v>148</v>
      </c>
      <c r="I35" t="s">
        <v>31</v>
      </c>
      <c r="J35">
        <v>588</v>
      </c>
      <c r="K35" t="s">
        <v>149</v>
      </c>
      <c r="L35">
        <v>8</v>
      </c>
      <c r="M35">
        <v>2.9333</v>
      </c>
      <c r="P35" t="s">
        <v>33</v>
      </c>
      <c r="Q35">
        <v>2</v>
      </c>
      <c r="R35" t="s">
        <v>1272</v>
      </c>
      <c r="S35" t="s">
        <v>1280</v>
      </c>
    </row>
    <row r="36" spans="1:19" hidden="1" x14ac:dyDescent="0.3">
      <c r="A36" t="s">
        <v>107</v>
      </c>
      <c r="B36" t="s">
        <v>108</v>
      </c>
      <c r="C36" t="s">
        <v>5</v>
      </c>
      <c r="D36">
        <v>9820</v>
      </c>
      <c r="E36" t="s">
        <v>150</v>
      </c>
      <c r="F36" t="s">
        <v>60</v>
      </c>
      <c r="G36" t="s">
        <v>151</v>
      </c>
      <c r="H36" t="s">
        <v>152</v>
      </c>
      <c r="I36" t="s">
        <v>25</v>
      </c>
      <c r="J36">
        <v>2512</v>
      </c>
      <c r="K36" t="s">
        <v>153</v>
      </c>
      <c r="N36">
        <v>9</v>
      </c>
      <c r="O36">
        <v>0.42409999999999998</v>
      </c>
      <c r="P36" t="s">
        <v>38</v>
      </c>
      <c r="Q36">
        <v>2</v>
      </c>
      <c r="R36" t="s">
        <v>1272</v>
      </c>
      <c r="S36" t="s">
        <v>1280</v>
      </c>
    </row>
    <row r="37" spans="1:19" hidden="1" x14ac:dyDescent="0.3">
      <c r="A37" t="s">
        <v>107</v>
      </c>
      <c r="B37" t="s">
        <v>108</v>
      </c>
      <c r="C37" t="s">
        <v>5</v>
      </c>
      <c r="D37">
        <v>15839</v>
      </c>
      <c r="E37" t="s">
        <v>154</v>
      </c>
      <c r="F37" t="s">
        <v>155</v>
      </c>
      <c r="G37" t="s">
        <v>156</v>
      </c>
      <c r="H37" t="s">
        <v>157</v>
      </c>
      <c r="I37" t="s">
        <v>25</v>
      </c>
      <c r="J37">
        <v>298</v>
      </c>
      <c r="K37" t="s">
        <v>158</v>
      </c>
      <c r="L37">
        <v>9</v>
      </c>
      <c r="M37">
        <v>2.8639000000000001</v>
      </c>
      <c r="P37" t="s">
        <v>33</v>
      </c>
      <c r="Q37">
        <v>0</v>
      </c>
      <c r="R37" t="s">
        <v>1272</v>
      </c>
      <c r="S37" t="s">
        <v>1274</v>
      </c>
    </row>
    <row r="38" spans="1:19" hidden="1" x14ac:dyDescent="0.3">
      <c r="A38" t="s">
        <v>107</v>
      </c>
      <c r="B38" t="s">
        <v>108</v>
      </c>
      <c r="C38" t="s">
        <v>5</v>
      </c>
      <c r="D38">
        <v>17785</v>
      </c>
      <c r="E38" t="s">
        <v>159</v>
      </c>
      <c r="F38" t="s">
        <v>160</v>
      </c>
      <c r="G38" t="s">
        <v>161</v>
      </c>
      <c r="H38" t="s">
        <v>162</v>
      </c>
      <c r="I38" t="s">
        <v>25</v>
      </c>
      <c r="J38">
        <v>935</v>
      </c>
      <c r="K38" t="s">
        <v>163</v>
      </c>
      <c r="L38">
        <v>10</v>
      </c>
      <c r="M38">
        <v>2.8149000000000002</v>
      </c>
      <c r="P38" t="s">
        <v>33</v>
      </c>
      <c r="Q38">
        <v>1</v>
      </c>
      <c r="R38" t="s">
        <v>1272</v>
      </c>
      <c r="S38" t="s">
        <v>1279</v>
      </c>
    </row>
    <row r="39" spans="1:19" hidden="1" x14ac:dyDescent="0.3">
      <c r="A39" t="s">
        <v>107</v>
      </c>
      <c r="B39" t="s">
        <v>108</v>
      </c>
      <c r="C39" t="s">
        <v>5</v>
      </c>
      <c r="D39">
        <v>20353</v>
      </c>
      <c r="E39" t="s">
        <v>164</v>
      </c>
      <c r="F39" t="s">
        <v>165</v>
      </c>
      <c r="G39" t="s">
        <v>41</v>
      </c>
      <c r="H39" t="s">
        <v>166</v>
      </c>
      <c r="I39" t="s">
        <v>31</v>
      </c>
      <c r="J39">
        <v>899</v>
      </c>
      <c r="K39" t="s">
        <v>167</v>
      </c>
      <c r="N39">
        <v>10</v>
      </c>
      <c r="O39">
        <v>0.41880000000000001</v>
      </c>
      <c r="P39" t="s">
        <v>38</v>
      </c>
      <c r="Q39">
        <v>2</v>
      </c>
      <c r="R39" t="s">
        <v>1272</v>
      </c>
      <c r="S39" t="s">
        <v>1280</v>
      </c>
    </row>
    <row r="40" spans="1:19" hidden="1" x14ac:dyDescent="0.3">
      <c r="A40" t="s">
        <v>168</v>
      </c>
      <c r="B40" t="s">
        <v>169</v>
      </c>
      <c r="C40" t="s">
        <v>5</v>
      </c>
      <c r="D40">
        <v>541</v>
      </c>
      <c r="E40" t="s">
        <v>170</v>
      </c>
      <c r="F40" t="s">
        <v>155</v>
      </c>
      <c r="G40" t="s">
        <v>171</v>
      </c>
      <c r="H40" t="s">
        <v>172</v>
      </c>
      <c r="I40" t="s">
        <v>25</v>
      </c>
      <c r="J40">
        <v>738</v>
      </c>
      <c r="K40" t="s">
        <v>173</v>
      </c>
      <c r="L40">
        <v>1</v>
      </c>
      <c r="M40">
        <v>6.2954999999999997</v>
      </c>
      <c r="P40" t="s">
        <v>33</v>
      </c>
      <c r="Q40">
        <v>2</v>
      </c>
      <c r="R40" t="s">
        <v>1272</v>
      </c>
      <c r="S40" t="s">
        <v>1280</v>
      </c>
    </row>
    <row r="41" spans="1:19" hidden="1" x14ac:dyDescent="0.3">
      <c r="A41" t="s">
        <v>168</v>
      </c>
      <c r="B41" t="s">
        <v>169</v>
      </c>
      <c r="C41" t="s">
        <v>5</v>
      </c>
      <c r="D41">
        <v>20777</v>
      </c>
      <c r="E41" t="s">
        <v>174</v>
      </c>
      <c r="F41" t="s">
        <v>155</v>
      </c>
      <c r="G41" t="s">
        <v>175</v>
      </c>
      <c r="H41" t="s">
        <v>176</v>
      </c>
      <c r="I41" t="s">
        <v>31</v>
      </c>
      <c r="J41">
        <v>384</v>
      </c>
      <c r="K41" t="s">
        <v>177</v>
      </c>
      <c r="N41">
        <v>1</v>
      </c>
      <c r="O41">
        <v>0.42920000000000003</v>
      </c>
      <c r="P41" t="s">
        <v>38</v>
      </c>
      <c r="Q41">
        <v>2</v>
      </c>
      <c r="R41" t="s">
        <v>1272</v>
      </c>
      <c r="S41" t="s">
        <v>1280</v>
      </c>
    </row>
    <row r="42" spans="1:19" hidden="1" x14ac:dyDescent="0.3">
      <c r="A42" t="s">
        <v>168</v>
      </c>
      <c r="B42" t="s">
        <v>169</v>
      </c>
      <c r="C42" t="s">
        <v>5</v>
      </c>
      <c r="D42">
        <v>3280</v>
      </c>
      <c r="E42" t="s">
        <v>178</v>
      </c>
      <c r="F42" t="s">
        <v>155</v>
      </c>
      <c r="G42" t="s">
        <v>179</v>
      </c>
      <c r="H42" t="s">
        <v>180</v>
      </c>
      <c r="I42" t="s">
        <v>25</v>
      </c>
      <c r="J42">
        <v>927</v>
      </c>
      <c r="K42" t="s">
        <v>181</v>
      </c>
      <c r="L42">
        <v>10</v>
      </c>
      <c r="M42">
        <v>4.1954000000000002</v>
      </c>
      <c r="N42">
        <v>2</v>
      </c>
      <c r="O42">
        <v>0.42870000000000003</v>
      </c>
      <c r="P42" t="s">
        <v>27</v>
      </c>
      <c r="Q42">
        <v>2</v>
      </c>
      <c r="R42" t="s">
        <v>1272</v>
      </c>
      <c r="S42" t="s">
        <v>1280</v>
      </c>
    </row>
    <row r="43" spans="1:19" hidden="1" x14ac:dyDescent="0.3">
      <c r="A43" t="s">
        <v>168</v>
      </c>
      <c r="B43" t="s">
        <v>169</v>
      </c>
      <c r="C43" t="s">
        <v>5</v>
      </c>
      <c r="D43">
        <v>15839</v>
      </c>
      <c r="E43" t="s">
        <v>154</v>
      </c>
      <c r="F43" t="s">
        <v>155</v>
      </c>
      <c r="G43" t="s">
        <v>156</v>
      </c>
      <c r="H43" t="s">
        <v>157</v>
      </c>
      <c r="I43" t="s">
        <v>25</v>
      </c>
      <c r="J43">
        <v>298</v>
      </c>
      <c r="K43" t="s">
        <v>158</v>
      </c>
      <c r="L43">
        <v>2</v>
      </c>
      <c r="M43">
        <v>6.2819000000000003</v>
      </c>
      <c r="P43" t="s">
        <v>33</v>
      </c>
      <c r="Q43">
        <v>2</v>
      </c>
      <c r="R43" t="s">
        <v>1272</v>
      </c>
      <c r="S43" t="s">
        <v>1280</v>
      </c>
    </row>
    <row r="44" spans="1:19" hidden="1" x14ac:dyDescent="0.3">
      <c r="A44" t="s">
        <v>168</v>
      </c>
      <c r="B44" t="s">
        <v>169</v>
      </c>
      <c r="C44" t="s">
        <v>5</v>
      </c>
      <c r="D44">
        <v>16145</v>
      </c>
      <c r="E44" t="s">
        <v>182</v>
      </c>
      <c r="F44" t="s">
        <v>155</v>
      </c>
      <c r="G44" t="s">
        <v>183</v>
      </c>
      <c r="H44" t="s">
        <v>184</v>
      </c>
      <c r="I44" t="s">
        <v>31</v>
      </c>
      <c r="J44">
        <v>2447</v>
      </c>
      <c r="K44" t="s">
        <v>185</v>
      </c>
      <c r="L44">
        <v>3</v>
      </c>
      <c r="M44">
        <v>6.2577999999999996</v>
      </c>
      <c r="N44">
        <v>3</v>
      </c>
      <c r="O44">
        <v>0.42159999999999997</v>
      </c>
      <c r="P44" t="s">
        <v>27</v>
      </c>
      <c r="Q44">
        <v>2</v>
      </c>
      <c r="R44" t="s">
        <v>1272</v>
      </c>
      <c r="S44" t="s">
        <v>1280</v>
      </c>
    </row>
    <row r="45" spans="1:19" hidden="1" x14ac:dyDescent="0.3">
      <c r="A45" t="s">
        <v>168</v>
      </c>
      <c r="B45" t="s">
        <v>169</v>
      </c>
      <c r="C45" t="s">
        <v>5</v>
      </c>
      <c r="D45">
        <v>16102</v>
      </c>
      <c r="E45" t="s">
        <v>186</v>
      </c>
      <c r="F45" t="s">
        <v>155</v>
      </c>
      <c r="G45" t="s">
        <v>187</v>
      </c>
      <c r="H45" t="s">
        <v>188</v>
      </c>
      <c r="I45" t="s">
        <v>25</v>
      </c>
      <c r="J45">
        <v>8766</v>
      </c>
      <c r="K45" t="s">
        <v>189</v>
      </c>
      <c r="L45">
        <v>4</v>
      </c>
      <c r="M45">
        <v>5.7648999999999999</v>
      </c>
      <c r="P45" t="s">
        <v>33</v>
      </c>
      <c r="Q45">
        <v>2</v>
      </c>
      <c r="R45" t="s">
        <v>1272</v>
      </c>
      <c r="S45" t="s">
        <v>1280</v>
      </c>
    </row>
    <row r="46" spans="1:19" hidden="1" x14ac:dyDescent="0.3">
      <c r="A46" t="s">
        <v>168</v>
      </c>
      <c r="B46" t="s">
        <v>169</v>
      </c>
      <c r="C46" t="s">
        <v>5</v>
      </c>
      <c r="D46">
        <v>20595</v>
      </c>
      <c r="E46" t="s">
        <v>190</v>
      </c>
      <c r="F46" t="s">
        <v>191</v>
      </c>
      <c r="G46" t="s">
        <v>192</v>
      </c>
      <c r="H46" t="s">
        <v>193</v>
      </c>
      <c r="I46" t="s">
        <v>25</v>
      </c>
      <c r="J46">
        <v>2941</v>
      </c>
      <c r="K46" t="s">
        <v>194</v>
      </c>
      <c r="N46">
        <v>4</v>
      </c>
      <c r="O46">
        <v>0.41760000000000003</v>
      </c>
      <c r="P46" t="s">
        <v>38</v>
      </c>
      <c r="Q46">
        <v>2</v>
      </c>
      <c r="R46" t="s">
        <v>1272</v>
      </c>
      <c r="S46" t="s">
        <v>1280</v>
      </c>
    </row>
    <row r="47" spans="1:19" hidden="1" x14ac:dyDescent="0.3">
      <c r="A47" t="s">
        <v>168</v>
      </c>
      <c r="B47" t="s">
        <v>169</v>
      </c>
      <c r="C47" t="s">
        <v>5</v>
      </c>
      <c r="D47">
        <v>17650</v>
      </c>
      <c r="E47" t="s">
        <v>195</v>
      </c>
      <c r="F47" t="s">
        <v>155</v>
      </c>
      <c r="G47" t="s">
        <v>196</v>
      </c>
      <c r="H47" t="s">
        <v>197</v>
      </c>
      <c r="I47" t="s">
        <v>25</v>
      </c>
      <c r="J47">
        <v>700</v>
      </c>
      <c r="K47" t="s">
        <v>198</v>
      </c>
      <c r="L47">
        <v>5</v>
      </c>
      <c r="M47">
        <v>5.6928000000000001</v>
      </c>
      <c r="P47" t="s">
        <v>33</v>
      </c>
      <c r="Q47">
        <v>2</v>
      </c>
      <c r="R47" t="s">
        <v>1272</v>
      </c>
      <c r="S47" t="s">
        <v>1280</v>
      </c>
    </row>
    <row r="48" spans="1:19" hidden="1" x14ac:dyDescent="0.3">
      <c r="A48" t="s">
        <v>168</v>
      </c>
      <c r="B48" t="s">
        <v>169</v>
      </c>
      <c r="C48" t="s">
        <v>5</v>
      </c>
      <c r="D48">
        <v>19710</v>
      </c>
      <c r="E48" t="s">
        <v>199</v>
      </c>
      <c r="F48" t="s">
        <v>200</v>
      </c>
      <c r="G48" t="s">
        <v>201</v>
      </c>
      <c r="H48" t="s">
        <v>202</v>
      </c>
      <c r="I48" t="s">
        <v>31</v>
      </c>
      <c r="J48">
        <v>262</v>
      </c>
      <c r="K48" t="s">
        <v>203</v>
      </c>
      <c r="N48">
        <v>5</v>
      </c>
      <c r="O48">
        <v>0.40899999999999997</v>
      </c>
      <c r="P48" t="s">
        <v>38</v>
      </c>
      <c r="Q48">
        <v>2</v>
      </c>
      <c r="R48" t="s">
        <v>1272</v>
      </c>
      <c r="S48" t="s">
        <v>1280</v>
      </c>
    </row>
    <row r="49" spans="1:19" hidden="1" x14ac:dyDescent="0.3">
      <c r="A49" t="s">
        <v>168</v>
      </c>
      <c r="B49" t="s">
        <v>169</v>
      </c>
      <c r="C49" t="s">
        <v>5</v>
      </c>
      <c r="D49">
        <v>18703</v>
      </c>
      <c r="E49" t="s">
        <v>116</v>
      </c>
      <c r="F49" t="s">
        <v>117</v>
      </c>
      <c r="G49" t="s">
        <v>118</v>
      </c>
      <c r="H49" t="s">
        <v>119</v>
      </c>
      <c r="I49" t="s">
        <v>31</v>
      </c>
      <c r="J49">
        <v>303</v>
      </c>
      <c r="K49" t="s">
        <v>120</v>
      </c>
      <c r="N49">
        <v>6</v>
      </c>
      <c r="O49">
        <v>0.3977</v>
      </c>
      <c r="P49" t="s">
        <v>38</v>
      </c>
      <c r="Q49">
        <v>1</v>
      </c>
      <c r="R49" t="s">
        <v>1272</v>
      </c>
      <c r="S49" t="s">
        <v>1281</v>
      </c>
    </row>
    <row r="50" spans="1:19" hidden="1" x14ac:dyDescent="0.3">
      <c r="A50" t="s">
        <v>168</v>
      </c>
      <c r="B50" t="s">
        <v>169</v>
      </c>
      <c r="C50" t="s">
        <v>5</v>
      </c>
      <c r="D50">
        <v>20632</v>
      </c>
      <c r="E50" t="s">
        <v>204</v>
      </c>
      <c r="F50" t="s">
        <v>205</v>
      </c>
      <c r="G50" t="s">
        <v>206</v>
      </c>
      <c r="H50" t="s">
        <v>207</v>
      </c>
      <c r="I50" t="s">
        <v>31</v>
      </c>
      <c r="J50">
        <v>411</v>
      </c>
      <c r="K50" t="s">
        <v>208</v>
      </c>
      <c r="L50">
        <v>6</v>
      </c>
      <c r="M50">
        <v>5.3494999999999999</v>
      </c>
      <c r="P50" t="s">
        <v>33</v>
      </c>
      <c r="Q50">
        <v>2</v>
      </c>
      <c r="R50" t="s">
        <v>1272</v>
      </c>
      <c r="S50" t="s">
        <v>1282</v>
      </c>
    </row>
    <row r="51" spans="1:19" hidden="1" x14ac:dyDescent="0.3">
      <c r="A51" t="s">
        <v>168</v>
      </c>
      <c r="B51" t="s">
        <v>169</v>
      </c>
      <c r="C51" t="s">
        <v>5</v>
      </c>
      <c r="D51">
        <v>17649</v>
      </c>
      <c r="E51" t="s">
        <v>209</v>
      </c>
      <c r="F51" t="s">
        <v>155</v>
      </c>
      <c r="G51" t="s">
        <v>210</v>
      </c>
      <c r="H51" t="s">
        <v>211</v>
      </c>
      <c r="I51" t="s">
        <v>31</v>
      </c>
      <c r="J51">
        <v>471</v>
      </c>
      <c r="K51" t="s">
        <v>212</v>
      </c>
      <c r="L51">
        <v>7</v>
      </c>
      <c r="M51">
        <v>5.0830000000000002</v>
      </c>
      <c r="P51" t="s">
        <v>33</v>
      </c>
      <c r="Q51">
        <v>2</v>
      </c>
      <c r="R51" t="s">
        <v>1272</v>
      </c>
      <c r="S51" t="s">
        <v>1280</v>
      </c>
    </row>
    <row r="52" spans="1:19" hidden="1" x14ac:dyDescent="0.3">
      <c r="A52" t="s">
        <v>168</v>
      </c>
      <c r="B52" t="s">
        <v>169</v>
      </c>
      <c r="C52" t="s">
        <v>5</v>
      </c>
      <c r="D52">
        <v>19521</v>
      </c>
      <c r="E52" t="s">
        <v>213</v>
      </c>
      <c r="F52" t="s">
        <v>155</v>
      </c>
      <c r="G52" t="s">
        <v>214</v>
      </c>
      <c r="H52" t="s">
        <v>215</v>
      </c>
      <c r="I52" t="s">
        <v>31</v>
      </c>
      <c r="J52">
        <v>265</v>
      </c>
      <c r="K52" t="s">
        <v>216</v>
      </c>
      <c r="N52">
        <v>7</v>
      </c>
      <c r="O52">
        <v>0.39439999999999997</v>
      </c>
      <c r="P52" t="s">
        <v>38</v>
      </c>
      <c r="Q52">
        <v>2</v>
      </c>
      <c r="R52" t="s">
        <v>1272</v>
      </c>
      <c r="S52" t="s">
        <v>1280</v>
      </c>
    </row>
    <row r="53" spans="1:19" hidden="1" x14ac:dyDescent="0.3">
      <c r="A53" t="s">
        <v>168</v>
      </c>
      <c r="B53" t="s">
        <v>169</v>
      </c>
      <c r="C53" t="s">
        <v>5</v>
      </c>
      <c r="D53">
        <v>13084</v>
      </c>
      <c r="E53" t="s">
        <v>217</v>
      </c>
      <c r="F53" t="s">
        <v>155</v>
      </c>
      <c r="G53" t="s">
        <v>218</v>
      </c>
      <c r="H53" t="s">
        <v>219</v>
      </c>
      <c r="I53" t="s">
        <v>31</v>
      </c>
      <c r="J53">
        <v>730</v>
      </c>
      <c r="K53" t="s">
        <v>220</v>
      </c>
      <c r="L53">
        <v>8</v>
      </c>
      <c r="M53">
        <v>5.0411999999999999</v>
      </c>
      <c r="P53" t="s">
        <v>33</v>
      </c>
      <c r="Q53">
        <v>2</v>
      </c>
      <c r="R53" t="s">
        <v>1272</v>
      </c>
      <c r="S53" t="s">
        <v>1280</v>
      </c>
    </row>
    <row r="54" spans="1:19" hidden="1" x14ac:dyDescent="0.3">
      <c r="A54" t="s">
        <v>168</v>
      </c>
      <c r="B54" t="s">
        <v>169</v>
      </c>
      <c r="C54" t="s">
        <v>5</v>
      </c>
      <c r="D54">
        <v>20532</v>
      </c>
      <c r="E54" t="s">
        <v>221</v>
      </c>
      <c r="F54" t="s">
        <v>222</v>
      </c>
      <c r="G54" t="s">
        <v>41</v>
      </c>
      <c r="H54" t="s">
        <v>223</v>
      </c>
      <c r="I54" t="s">
        <v>25</v>
      </c>
      <c r="J54">
        <v>1105</v>
      </c>
      <c r="K54" t="s">
        <v>224</v>
      </c>
      <c r="N54">
        <v>8</v>
      </c>
      <c r="O54">
        <v>0.38729999999999998</v>
      </c>
      <c r="P54" t="s">
        <v>38</v>
      </c>
      <c r="Q54">
        <v>2</v>
      </c>
      <c r="R54" t="s">
        <v>1272</v>
      </c>
      <c r="S54" t="s">
        <v>1280</v>
      </c>
    </row>
    <row r="55" spans="1:19" hidden="1" x14ac:dyDescent="0.3">
      <c r="A55" t="s">
        <v>168</v>
      </c>
      <c r="B55" t="s">
        <v>169</v>
      </c>
      <c r="C55" t="s">
        <v>5</v>
      </c>
      <c r="D55">
        <v>10142</v>
      </c>
      <c r="E55" t="s">
        <v>225</v>
      </c>
      <c r="F55" t="s">
        <v>155</v>
      </c>
      <c r="G55" t="s">
        <v>226</v>
      </c>
      <c r="H55" t="s">
        <v>227</v>
      </c>
      <c r="I55" t="s">
        <v>25</v>
      </c>
      <c r="J55">
        <v>2447</v>
      </c>
      <c r="K55" t="s">
        <v>228</v>
      </c>
      <c r="N55">
        <v>9</v>
      </c>
      <c r="O55">
        <v>0.3831</v>
      </c>
      <c r="P55" t="s">
        <v>38</v>
      </c>
      <c r="Q55">
        <v>2</v>
      </c>
      <c r="R55" t="s">
        <v>1272</v>
      </c>
      <c r="S55" t="s">
        <v>1280</v>
      </c>
    </row>
    <row r="56" spans="1:19" hidden="1" x14ac:dyDescent="0.3">
      <c r="A56" t="s">
        <v>168</v>
      </c>
      <c r="B56" t="s">
        <v>169</v>
      </c>
      <c r="C56" t="s">
        <v>5</v>
      </c>
      <c r="D56">
        <v>17792</v>
      </c>
      <c r="E56" t="s">
        <v>229</v>
      </c>
      <c r="F56" t="s">
        <v>230</v>
      </c>
      <c r="G56" t="s">
        <v>231</v>
      </c>
      <c r="H56" t="s">
        <v>232</v>
      </c>
      <c r="I56" t="s">
        <v>31</v>
      </c>
      <c r="J56">
        <v>564</v>
      </c>
      <c r="K56" t="s">
        <v>233</v>
      </c>
      <c r="L56">
        <v>9</v>
      </c>
      <c r="M56">
        <v>4.3265000000000002</v>
      </c>
      <c r="P56" t="s">
        <v>33</v>
      </c>
      <c r="Q56">
        <v>1</v>
      </c>
      <c r="R56" t="s">
        <v>1272</v>
      </c>
      <c r="S56" t="s">
        <v>1283</v>
      </c>
    </row>
    <row r="57" spans="1:19" hidden="1" x14ac:dyDescent="0.3">
      <c r="A57" t="s">
        <v>168</v>
      </c>
      <c r="B57" t="s">
        <v>169</v>
      </c>
      <c r="C57" t="s">
        <v>5</v>
      </c>
      <c r="D57">
        <v>17349</v>
      </c>
      <c r="E57" t="s">
        <v>234</v>
      </c>
      <c r="F57" t="s">
        <v>155</v>
      </c>
      <c r="G57" t="s">
        <v>235</v>
      </c>
      <c r="H57" t="s">
        <v>236</v>
      </c>
      <c r="I57" t="s">
        <v>25</v>
      </c>
      <c r="J57">
        <v>281</v>
      </c>
      <c r="K57" t="s">
        <v>237</v>
      </c>
      <c r="N57">
        <v>10</v>
      </c>
      <c r="O57">
        <v>0.37859999999999999</v>
      </c>
      <c r="P57" t="s">
        <v>38</v>
      </c>
      <c r="Q57">
        <v>2</v>
      </c>
      <c r="R57" t="s">
        <v>1272</v>
      </c>
      <c r="S57" t="s">
        <v>1280</v>
      </c>
    </row>
    <row r="58" spans="1:19" hidden="1" x14ac:dyDescent="0.3">
      <c r="A58" t="s">
        <v>238</v>
      </c>
      <c r="B58" t="s">
        <v>239</v>
      </c>
      <c r="C58" t="s">
        <v>5</v>
      </c>
      <c r="D58">
        <v>14198</v>
      </c>
      <c r="E58" t="s">
        <v>73</v>
      </c>
      <c r="F58" t="s">
        <v>74</v>
      </c>
      <c r="G58" t="s">
        <v>75</v>
      </c>
      <c r="H58" t="s">
        <v>76</v>
      </c>
      <c r="I58" t="s">
        <v>31</v>
      </c>
      <c r="J58">
        <v>377</v>
      </c>
      <c r="K58" t="s">
        <v>77</v>
      </c>
      <c r="L58">
        <v>1</v>
      </c>
      <c r="M58">
        <v>7.5388000000000002</v>
      </c>
      <c r="P58" t="s">
        <v>33</v>
      </c>
      <c r="Q58">
        <v>2</v>
      </c>
      <c r="R58" t="s">
        <v>1272</v>
      </c>
      <c r="S58" t="s">
        <v>1280</v>
      </c>
    </row>
    <row r="59" spans="1:19" hidden="1" x14ac:dyDescent="0.3">
      <c r="A59" t="s">
        <v>238</v>
      </c>
      <c r="B59" t="s">
        <v>239</v>
      </c>
      <c r="C59" t="s">
        <v>5</v>
      </c>
      <c r="D59">
        <v>18703</v>
      </c>
      <c r="E59" t="s">
        <v>116</v>
      </c>
      <c r="F59" t="s">
        <v>117</v>
      </c>
      <c r="G59" t="s">
        <v>118</v>
      </c>
      <c r="H59" t="s">
        <v>119</v>
      </c>
      <c r="I59" t="s">
        <v>31</v>
      </c>
      <c r="J59">
        <v>303</v>
      </c>
      <c r="K59" t="s">
        <v>120</v>
      </c>
      <c r="N59">
        <v>1</v>
      </c>
      <c r="O59">
        <v>0.44209999999999999</v>
      </c>
      <c r="P59" t="s">
        <v>38</v>
      </c>
      <c r="Q59">
        <v>2</v>
      </c>
      <c r="R59" t="s">
        <v>1272</v>
      </c>
      <c r="S59" t="s">
        <v>1280</v>
      </c>
    </row>
    <row r="60" spans="1:19" hidden="1" x14ac:dyDescent="0.3">
      <c r="A60" t="s">
        <v>238</v>
      </c>
      <c r="B60" t="s">
        <v>239</v>
      </c>
      <c r="C60" t="s">
        <v>5</v>
      </c>
      <c r="D60">
        <v>13681</v>
      </c>
      <c r="E60" t="s">
        <v>112</v>
      </c>
      <c r="F60" t="s">
        <v>74</v>
      </c>
      <c r="G60" t="s">
        <v>113</v>
      </c>
      <c r="H60" t="s">
        <v>114</v>
      </c>
      <c r="I60" t="s">
        <v>31</v>
      </c>
      <c r="J60">
        <v>580</v>
      </c>
      <c r="K60" t="s">
        <v>115</v>
      </c>
      <c r="L60">
        <v>2</v>
      </c>
      <c r="M60">
        <v>7.4134000000000002</v>
      </c>
      <c r="P60" t="s">
        <v>33</v>
      </c>
      <c r="Q60">
        <v>2</v>
      </c>
      <c r="R60" t="s">
        <v>1272</v>
      </c>
      <c r="S60" t="s">
        <v>1280</v>
      </c>
    </row>
    <row r="61" spans="1:19" hidden="1" x14ac:dyDescent="0.3">
      <c r="A61" t="s">
        <v>238</v>
      </c>
      <c r="B61" t="s">
        <v>239</v>
      </c>
      <c r="C61" t="s">
        <v>5</v>
      </c>
      <c r="D61">
        <v>16388</v>
      </c>
      <c r="E61" t="s">
        <v>240</v>
      </c>
      <c r="F61" t="s">
        <v>74</v>
      </c>
      <c r="G61" t="s">
        <v>241</v>
      </c>
      <c r="H61" t="s">
        <v>242</v>
      </c>
      <c r="I61" t="s">
        <v>25</v>
      </c>
      <c r="J61">
        <v>246</v>
      </c>
      <c r="K61" t="s">
        <v>243</v>
      </c>
      <c r="N61">
        <v>2</v>
      </c>
      <c r="O61">
        <v>0.42649999999999999</v>
      </c>
      <c r="P61" t="s">
        <v>38</v>
      </c>
      <c r="Q61">
        <v>2</v>
      </c>
      <c r="R61" t="s">
        <v>1272</v>
      </c>
      <c r="S61" t="s">
        <v>1280</v>
      </c>
    </row>
    <row r="62" spans="1:19" hidden="1" x14ac:dyDescent="0.3">
      <c r="A62" t="s">
        <v>238</v>
      </c>
      <c r="B62" t="s">
        <v>239</v>
      </c>
      <c r="C62" t="s">
        <v>5</v>
      </c>
      <c r="D62">
        <v>16145</v>
      </c>
      <c r="E62" t="s">
        <v>182</v>
      </c>
      <c r="F62" t="s">
        <v>155</v>
      </c>
      <c r="G62" t="s">
        <v>183</v>
      </c>
      <c r="H62" t="s">
        <v>184</v>
      </c>
      <c r="I62" t="s">
        <v>31</v>
      </c>
      <c r="J62">
        <v>2447</v>
      </c>
      <c r="K62" t="s">
        <v>185</v>
      </c>
      <c r="L62">
        <v>3</v>
      </c>
      <c r="M62">
        <v>6.2920999999999996</v>
      </c>
      <c r="O62" t="str">
        <f>+G62</f>
        <v>Nhẹ Nhàng, Góc nhìn nam</v>
      </c>
      <c r="P62" t="s">
        <v>33</v>
      </c>
      <c r="Q62">
        <v>0</v>
      </c>
      <c r="R62" t="s">
        <v>1272</v>
      </c>
      <c r="S62" t="s">
        <v>1275</v>
      </c>
    </row>
    <row r="63" spans="1:19" hidden="1" x14ac:dyDescent="0.3">
      <c r="A63" t="s">
        <v>238</v>
      </c>
      <c r="B63" t="s">
        <v>239</v>
      </c>
      <c r="C63" t="s">
        <v>5</v>
      </c>
      <c r="D63">
        <v>19282</v>
      </c>
      <c r="E63" t="s">
        <v>244</v>
      </c>
      <c r="F63" t="s">
        <v>245</v>
      </c>
      <c r="G63" t="s">
        <v>246</v>
      </c>
      <c r="H63" t="s">
        <v>247</v>
      </c>
      <c r="I63" t="s">
        <v>25</v>
      </c>
      <c r="J63">
        <v>814</v>
      </c>
      <c r="K63" t="s">
        <v>248</v>
      </c>
      <c r="N63">
        <v>3</v>
      </c>
      <c r="O63">
        <v>0.4103</v>
      </c>
      <c r="P63" t="s">
        <v>38</v>
      </c>
      <c r="Q63">
        <v>2</v>
      </c>
      <c r="R63" t="s">
        <v>1272</v>
      </c>
      <c r="S63" t="s">
        <v>1280</v>
      </c>
    </row>
    <row r="64" spans="1:19" hidden="1" x14ac:dyDescent="0.3">
      <c r="A64" t="s">
        <v>238</v>
      </c>
      <c r="B64" t="s">
        <v>239</v>
      </c>
      <c r="C64" t="s">
        <v>5</v>
      </c>
      <c r="D64">
        <v>16546</v>
      </c>
      <c r="E64" t="s">
        <v>249</v>
      </c>
      <c r="F64" t="s">
        <v>74</v>
      </c>
      <c r="G64" t="s">
        <v>250</v>
      </c>
      <c r="H64" t="s">
        <v>251</v>
      </c>
      <c r="I64" t="s">
        <v>25</v>
      </c>
      <c r="J64">
        <v>238</v>
      </c>
      <c r="K64" t="s">
        <v>252</v>
      </c>
      <c r="L64">
        <v>10</v>
      </c>
      <c r="M64">
        <v>4.3791000000000002</v>
      </c>
      <c r="N64">
        <v>4</v>
      </c>
      <c r="O64">
        <v>0.4093</v>
      </c>
      <c r="P64" t="s">
        <v>27</v>
      </c>
      <c r="Q64">
        <v>2</v>
      </c>
      <c r="R64" t="s">
        <v>1272</v>
      </c>
      <c r="S64" t="s">
        <v>1280</v>
      </c>
    </row>
    <row r="65" spans="1:19" hidden="1" x14ac:dyDescent="0.3">
      <c r="A65" t="s">
        <v>238</v>
      </c>
      <c r="B65" t="s">
        <v>239</v>
      </c>
      <c r="C65" t="s">
        <v>5</v>
      </c>
      <c r="D65">
        <v>18746</v>
      </c>
      <c r="E65" t="s">
        <v>253</v>
      </c>
      <c r="F65" t="s">
        <v>254</v>
      </c>
      <c r="G65" t="s">
        <v>255</v>
      </c>
      <c r="H65" t="s">
        <v>256</v>
      </c>
      <c r="I65" t="s">
        <v>25</v>
      </c>
      <c r="J65">
        <v>1493</v>
      </c>
      <c r="K65" t="s">
        <v>257</v>
      </c>
      <c r="L65">
        <v>4</v>
      </c>
      <c r="M65">
        <v>6.0815999999999999</v>
      </c>
      <c r="P65" t="s">
        <v>33</v>
      </c>
      <c r="Q65">
        <v>1</v>
      </c>
      <c r="R65" t="s">
        <v>1272</v>
      </c>
      <c r="S65" t="s">
        <v>1284</v>
      </c>
    </row>
    <row r="66" spans="1:19" hidden="1" x14ac:dyDescent="0.3">
      <c r="A66" t="s">
        <v>238</v>
      </c>
      <c r="B66" t="s">
        <v>239</v>
      </c>
      <c r="C66" t="s">
        <v>5</v>
      </c>
      <c r="D66">
        <v>14073</v>
      </c>
      <c r="E66" t="s">
        <v>258</v>
      </c>
      <c r="F66" t="s">
        <v>74</v>
      </c>
      <c r="G66" t="s">
        <v>259</v>
      </c>
      <c r="H66" t="s">
        <v>260</v>
      </c>
      <c r="I66" t="s">
        <v>31</v>
      </c>
      <c r="J66">
        <v>494</v>
      </c>
      <c r="K66" t="s">
        <v>261</v>
      </c>
      <c r="N66">
        <v>5</v>
      </c>
      <c r="O66">
        <v>0.40450000000000003</v>
      </c>
      <c r="P66" t="s">
        <v>38</v>
      </c>
      <c r="Q66">
        <v>2</v>
      </c>
      <c r="R66" t="s">
        <v>1272</v>
      </c>
      <c r="S66" t="s">
        <v>1280</v>
      </c>
    </row>
    <row r="67" spans="1:19" hidden="1" x14ac:dyDescent="0.3">
      <c r="A67" t="s">
        <v>238</v>
      </c>
      <c r="B67" t="s">
        <v>239</v>
      </c>
      <c r="C67" t="s">
        <v>5</v>
      </c>
      <c r="D67">
        <v>15905</v>
      </c>
      <c r="E67" t="s">
        <v>262</v>
      </c>
      <c r="F67" t="s">
        <v>60</v>
      </c>
      <c r="G67" t="s">
        <v>263</v>
      </c>
      <c r="H67" t="s">
        <v>264</v>
      </c>
      <c r="I67" t="s">
        <v>31</v>
      </c>
      <c r="J67">
        <v>772</v>
      </c>
      <c r="K67" t="s">
        <v>265</v>
      </c>
      <c r="L67">
        <v>5</v>
      </c>
      <c r="M67">
        <v>5.8533999999999997</v>
      </c>
      <c r="P67" t="s">
        <v>33</v>
      </c>
      <c r="Q67">
        <v>0</v>
      </c>
      <c r="R67" t="s">
        <v>1272</v>
      </c>
      <c r="S67" t="s">
        <v>1275</v>
      </c>
    </row>
    <row r="68" spans="1:19" hidden="1" x14ac:dyDescent="0.3">
      <c r="A68" t="s">
        <v>238</v>
      </c>
      <c r="B68" t="s">
        <v>239</v>
      </c>
      <c r="C68" t="s">
        <v>5</v>
      </c>
      <c r="D68">
        <v>16211</v>
      </c>
      <c r="E68" t="s">
        <v>266</v>
      </c>
      <c r="F68" t="s">
        <v>74</v>
      </c>
      <c r="G68" t="s">
        <v>267</v>
      </c>
      <c r="H68" t="s">
        <v>268</v>
      </c>
      <c r="I68" t="s">
        <v>31</v>
      </c>
      <c r="J68">
        <v>1579</v>
      </c>
      <c r="K68" t="s">
        <v>269</v>
      </c>
      <c r="L68">
        <v>9</v>
      </c>
      <c r="M68">
        <v>4.4028999999999998</v>
      </c>
      <c r="N68">
        <v>6</v>
      </c>
      <c r="O68">
        <v>0.4027</v>
      </c>
      <c r="P68" t="s">
        <v>27</v>
      </c>
      <c r="Q68">
        <v>2</v>
      </c>
      <c r="R68" t="s">
        <v>1272</v>
      </c>
      <c r="S68" t="s">
        <v>1280</v>
      </c>
    </row>
    <row r="69" spans="1:19" hidden="1" x14ac:dyDescent="0.3">
      <c r="A69" t="s">
        <v>238</v>
      </c>
      <c r="B69" t="s">
        <v>239</v>
      </c>
      <c r="C69" t="s">
        <v>5</v>
      </c>
      <c r="D69">
        <v>19982</v>
      </c>
      <c r="E69" t="s">
        <v>28</v>
      </c>
      <c r="F69" t="s">
        <v>22</v>
      </c>
      <c r="G69" t="s">
        <v>29</v>
      </c>
      <c r="H69" t="s">
        <v>30</v>
      </c>
      <c r="I69" t="s">
        <v>31</v>
      </c>
      <c r="J69">
        <v>543</v>
      </c>
      <c r="K69" t="s">
        <v>32</v>
      </c>
      <c r="L69">
        <v>6</v>
      </c>
      <c r="M69">
        <v>5.1440000000000001</v>
      </c>
      <c r="P69" t="s">
        <v>33</v>
      </c>
      <c r="Q69">
        <v>0</v>
      </c>
      <c r="R69" t="s">
        <v>1272</v>
      </c>
      <c r="S69" t="s">
        <v>1275</v>
      </c>
    </row>
    <row r="70" spans="1:19" hidden="1" x14ac:dyDescent="0.3">
      <c r="A70" t="s">
        <v>238</v>
      </c>
      <c r="B70" t="s">
        <v>239</v>
      </c>
      <c r="C70" t="s">
        <v>5</v>
      </c>
      <c r="D70">
        <v>4828</v>
      </c>
      <c r="E70" t="s">
        <v>54</v>
      </c>
      <c r="F70" t="s">
        <v>55</v>
      </c>
      <c r="G70" t="s">
        <v>56</v>
      </c>
      <c r="H70" t="s">
        <v>57</v>
      </c>
      <c r="I70" t="s">
        <v>25</v>
      </c>
      <c r="J70">
        <v>546</v>
      </c>
      <c r="K70" t="s">
        <v>58</v>
      </c>
      <c r="L70">
        <v>7</v>
      </c>
      <c r="M70">
        <v>4.9016999999999999</v>
      </c>
      <c r="N70">
        <v>10</v>
      </c>
      <c r="O70">
        <v>0.37890000000000001</v>
      </c>
      <c r="P70" t="s">
        <v>27</v>
      </c>
      <c r="Q70">
        <v>0</v>
      </c>
      <c r="R70" t="s">
        <v>1272</v>
      </c>
      <c r="S70" t="s">
        <v>1275</v>
      </c>
    </row>
    <row r="71" spans="1:19" hidden="1" x14ac:dyDescent="0.3">
      <c r="A71" t="s">
        <v>238</v>
      </c>
      <c r="B71" t="s">
        <v>239</v>
      </c>
      <c r="C71" t="s">
        <v>5</v>
      </c>
      <c r="D71">
        <v>13481</v>
      </c>
      <c r="E71" t="s">
        <v>270</v>
      </c>
      <c r="F71" t="s">
        <v>55</v>
      </c>
      <c r="G71" t="s">
        <v>271</v>
      </c>
      <c r="H71" t="s">
        <v>272</v>
      </c>
      <c r="I71" t="s">
        <v>31</v>
      </c>
      <c r="J71">
        <v>690</v>
      </c>
      <c r="K71" t="s">
        <v>273</v>
      </c>
      <c r="N71">
        <v>7</v>
      </c>
      <c r="O71">
        <v>0.40089999999999998</v>
      </c>
      <c r="P71" t="s">
        <v>38</v>
      </c>
      <c r="Q71">
        <v>0</v>
      </c>
      <c r="R71" t="s">
        <v>1272</v>
      </c>
      <c r="S71" t="s">
        <v>1275</v>
      </c>
    </row>
    <row r="72" spans="1:19" hidden="1" x14ac:dyDescent="0.3">
      <c r="A72" t="s">
        <v>238</v>
      </c>
      <c r="B72" t="s">
        <v>239</v>
      </c>
      <c r="C72" t="s">
        <v>5</v>
      </c>
      <c r="D72">
        <v>16114</v>
      </c>
      <c r="E72" t="s">
        <v>274</v>
      </c>
      <c r="F72" t="s">
        <v>74</v>
      </c>
      <c r="G72" t="s">
        <v>275</v>
      </c>
      <c r="H72" t="s">
        <v>276</v>
      </c>
      <c r="I72" t="s">
        <v>25</v>
      </c>
      <c r="J72">
        <v>251</v>
      </c>
      <c r="K72" t="s">
        <v>277</v>
      </c>
      <c r="L72">
        <v>8</v>
      </c>
      <c r="M72">
        <v>4.4131</v>
      </c>
      <c r="P72" t="s">
        <v>33</v>
      </c>
      <c r="Q72">
        <v>2</v>
      </c>
      <c r="R72" t="s">
        <v>1272</v>
      </c>
      <c r="S72" t="s">
        <v>1280</v>
      </c>
    </row>
    <row r="73" spans="1:19" hidden="1" x14ac:dyDescent="0.3">
      <c r="A73" t="s">
        <v>238</v>
      </c>
      <c r="B73" t="s">
        <v>239</v>
      </c>
      <c r="C73" t="s">
        <v>5</v>
      </c>
      <c r="D73">
        <v>20259</v>
      </c>
      <c r="E73" t="s">
        <v>49</v>
      </c>
      <c r="F73" t="s">
        <v>50</v>
      </c>
      <c r="G73" t="s">
        <v>51</v>
      </c>
      <c r="H73" t="s">
        <v>52</v>
      </c>
      <c r="I73" t="s">
        <v>25</v>
      </c>
      <c r="J73">
        <v>313</v>
      </c>
      <c r="K73" t="s">
        <v>53</v>
      </c>
      <c r="N73">
        <v>8</v>
      </c>
      <c r="O73">
        <v>0.39850000000000002</v>
      </c>
      <c r="P73" t="s">
        <v>38</v>
      </c>
      <c r="Q73">
        <v>0</v>
      </c>
      <c r="R73" t="s">
        <v>1272</v>
      </c>
      <c r="S73" t="s">
        <v>1275</v>
      </c>
    </row>
    <row r="74" spans="1:19" hidden="1" x14ac:dyDescent="0.3">
      <c r="A74" t="s">
        <v>238</v>
      </c>
      <c r="B74" t="s">
        <v>239</v>
      </c>
      <c r="C74" t="s">
        <v>5</v>
      </c>
      <c r="D74">
        <v>20764</v>
      </c>
      <c r="E74" t="s">
        <v>278</v>
      </c>
      <c r="F74" t="s">
        <v>60</v>
      </c>
      <c r="G74" t="s">
        <v>279</v>
      </c>
      <c r="H74" t="s">
        <v>280</v>
      </c>
      <c r="I74" t="s">
        <v>25</v>
      </c>
      <c r="J74">
        <v>483</v>
      </c>
      <c r="K74" t="s">
        <v>281</v>
      </c>
      <c r="N74">
        <v>9</v>
      </c>
      <c r="O74">
        <v>0.3805</v>
      </c>
      <c r="P74" t="s">
        <v>38</v>
      </c>
      <c r="Q74">
        <v>0</v>
      </c>
      <c r="R74" t="s">
        <v>1272</v>
      </c>
      <c r="S74" t="s">
        <v>1275</v>
      </c>
    </row>
    <row r="75" spans="1:19" hidden="1" x14ac:dyDescent="0.3">
      <c r="A75" t="s">
        <v>282</v>
      </c>
      <c r="B75" t="s">
        <v>283</v>
      </c>
      <c r="C75" t="s">
        <v>5</v>
      </c>
      <c r="D75">
        <v>2385</v>
      </c>
      <c r="E75" t="s">
        <v>284</v>
      </c>
      <c r="F75" t="s">
        <v>60</v>
      </c>
      <c r="G75" t="s">
        <v>41</v>
      </c>
      <c r="H75" t="s">
        <v>285</v>
      </c>
      <c r="I75" t="s">
        <v>25</v>
      </c>
      <c r="J75">
        <v>1160</v>
      </c>
      <c r="K75" t="s">
        <v>286</v>
      </c>
      <c r="N75">
        <v>1</v>
      </c>
      <c r="O75">
        <v>0.38040000000000002</v>
      </c>
      <c r="P75" t="s">
        <v>38</v>
      </c>
      <c r="Q75">
        <v>1</v>
      </c>
      <c r="R75" t="s">
        <v>1272</v>
      </c>
      <c r="S75" t="s">
        <v>1285</v>
      </c>
    </row>
    <row r="76" spans="1:19" hidden="1" x14ac:dyDescent="0.3">
      <c r="A76" t="s">
        <v>282</v>
      </c>
      <c r="B76" t="s">
        <v>283</v>
      </c>
      <c r="C76" t="s">
        <v>5</v>
      </c>
      <c r="D76">
        <v>14198</v>
      </c>
      <c r="E76" t="s">
        <v>73</v>
      </c>
      <c r="F76" t="s">
        <v>74</v>
      </c>
      <c r="G76" t="s">
        <v>75</v>
      </c>
      <c r="H76" t="s">
        <v>76</v>
      </c>
      <c r="I76" t="s">
        <v>31</v>
      </c>
      <c r="J76">
        <v>377</v>
      </c>
      <c r="K76" t="s">
        <v>77</v>
      </c>
      <c r="L76">
        <v>1</v>
      </c>
      <c r="M76">
        <v>6.4572000000000003</v>
      </c>
      <c r="N76">
        <v>8</v>
      </c>
      <c r="O76">
        <v>0.36</v>
      </c>
      <c r="P76" t="s">
        <v>27</v>
      </c>
      <c r="Q76">
        <v>1</v>
      </c>
      <c r="R76" t="s">
        <v>1272</v>
      </c>
      <c r="S76" t="s">
        <v>1285</v>
      </c>
    </row>
    <row r="77" spans="1:19" hidden="1" x14ac:dyDescent="0.3">
      <c r="A77" t="s">
        <v>282</v>
      </c>
      <c r="B77" t="s">
        <v>283</v>
      </c>
      <c r="C77" t="s">
        <v>5</v>
      </c>
      <c r="D77">
        <v>13681</v>
      </c>
      <c r="E77" t="s">
        <v>112</v>
      </c>
      <c r="F77" t="s">
        <v>74</v>
      </c>
      <c r="G77" t="s">
        <v>113</v>
      </c>
      <c r="H77" t="s">
        <v>114</v>
      </c>
      <c r="I77" t="s">
        <v>31</v>
      </c>
      <c r="J77">
        <v>580</v>
      </c>
      <c r="K77" t="s">
        <v>115</v>
      </c>
      <c r="L77">
        <v>2</v>
      </c>
      <c r="M77">
        <v>5.3426</v>
      </c>
      <c r="P77" t="s">
        <v>33</v>
      </c>
      <c r="Q77">
        <v>1</v>
      </c>
      <c r="R77" t="s">
        <v>1272</v>
      </c>
      <c r="S77" t="s">
        <v>1288</v>
      </c>
    </row>
    <row r="78" spans="1:19" hidden="1" x14ac:dyDescent="0.3">
      <c r="A78" t="s">
        <v>282</v>
      </c>
      <c r="B78" t="s">
        <v>283</v>
      </c>
      <c r="C78" t="s">
        <v>5</v>
      </c>
      <c r="D78">
        <v>19521</v>
      </c>
      <c r="E78" t="s">
        <v>213</v>
      </c>
      <c r="F78" t="s">
        <v>155</v>
      </c>
      <c r="G78" t="s">
        <v>214</v>
      </c>
      <c r="H78" t="s">
        <v>215</v>
      </c>
      <c r="I78" t="s">
        <v>31</v>
      </c>
      <c r="J78">
        <v>265</v>
      </c>
      <c r="K78" t="s">
        <v>216</v>
      </c>
      <c r="N78">
        <v>2</v>
      </c>
      <c r="O78">
        <v>0.37630000000000002</v>
      </c>
      <c r="P78" t="s">
        <v>38</v>
      </c>
      <c r="Q78">
        <v>1</v>
      </c>
      <c r="R78" t="s">
        <v>1272</v>
      </c>
      <c r="S78" t="s">
        <v>1288</v>
      </c>
    </row>
    <row r="79" spans="1:19" hidden="1" x14ac:dyDescent="0.3">
      <c r="A79" t="s">
        <v>282</v>
      </c>
      <c r="B79" t="s">
        <v>283</v>
      </c>
      <c r="C79" t="s">
        <v>5</v>
      </c>
      <c r="D79">
        <v>13970</v>
      </c>
      <c r="E79" t="s">
        <v>287</v>
      </c>
      <c r="F79" t="s">
        <v>288</v>
      </c>
      <c r="G79" t="s">
        <v>289</v>
      </c>
      <c r="H79" t="s">
        <v>290</v>
      </c>
      <c r="I79" t="s">
        <v>31</v>
      </c>
      <c r="J79">
        <v>670</v>
      </c>
      <c r="K79" t="s">
        <v>291</v>
      </c>
      <c r="N79">
        <v>3</v>
      </c>
      <c r="O79">
        <v>0.37309999999999999</v>
      </c>
      <c r="P79" t="s">
        <v>38</v>
      </c>
      <c r="Q79">
        <v>1</v>
      </c>
      <c r="R79" t="s">
        <v>1272</v>
      </c>
      <c r="S79" t="s">
        <v>1288</v>
      </c>
    </row>
    <row r="80" spans="1:19" hidden="1" x14ac:dyDescent="0.3">
      <c r="A80" t="s">
        <v>282</v>
      </c>
      <c r="B80" t="s">
        <v>283</v>
      </c>
      <c r="C80" t="s">
        <v>5</v>
      </c>
      <c r="D80">
        <v>20772</v>
      </c>
      <c r="E80" t="s">
        <v>292</v>
      </c>
      <c r="F80" t="s">
        <v>293</v>
      </c>
      <c r="G80" t="s">
        <v>41</v>
      </c>
      <c r="H80" t="s">
        <v>294</v>
      </c>
      <c r="I80" t="s">
        <v>25</v>
      </c>
      <c r="J80">
        <v>787</v>
      </c>
      <c r="K80" t="s">
        <v>295</v>
      </c>
      <c r="L80">
        <v>3</v>
      </c>
      <c r="M80">
        <v>4.5633999999999997</v>
      </c>
      <c r="P80" t="s">
        <v>33</v>
      </c>
      <c r="Q80">
        <v>2</v>
      </c>
      <c r="R80" t="s">
        <v>1272</v>
      </c>
      <c r="S80" t="s">
        <v>1280</v>
      </c>
    </row>
    <row r="81" spans="1:19" hidden="1" x14ac:dyDescent="0.3">
      <c r="A81" t="s">
        <v>282</v>
      </c>
      <c r="B81" t="s">
        <v>283</v>
      </c>
      <c r="C81" t="s">
        <v>5</v>
      </c>
      <c r="D81">
        <v>18746</v>
      </c>
      <c r="E81" t="s">
        <v>253</v>
      </c>
      <c r="F81" t="s">
        <v>254</v>
      </c>
      <c r="G81" t="s">
        <v>255</v>
      </c>
      <c r="H81" t="s">
        <v>256</v>
      </c>
      <c r="I81" t="s">
        <v>25</v>
      </c>
      <c r="J81">
        <v>1493</v>
      </c>
      <c r="K81" t="s">
        <v>257</v>
      </c>
      <c r="L81">
        <v>4</v>
      </c>
      <c r="M81">
        <v>4.4920999999999998</v>
      </c>
      <c r="P81" t="s">
        <v>33</v>
      </c>
      <c r="Q81">
        <v>2</v>
      </c>
      <c r="R81" t="s">
        <v>1272</v>
      </c>
      <c r="S81" t="s">
        <v>1280</v>
      </c>
    </row>
    <row r="82" spans="1:19" hidden="1" x14ac:dyDescent="0.3">
      <c r="A82" t="s">
        <v>282</v>
      </c>
      <c r="B82" t="s">
        <v>283</v>
      </c>
      <c r="C82" t="s">
        <v>5</v>
      </c>
      <c r="D82">
        <v>19019</v>
      </c>
      <c r="E82" t="s">
        <v>296</v>
      </c>
      <c r="F82" t="s">
        <v>297</v>
      </c>
      <c r="G82" t="s">
        <v>298</v>
      </c>
      <c r="H82" t="s">
        <v>299</v>
      </c>
      <c r="I82" t="s">
        <v>25</v>
      </c>
      <c r="J82">
        <v>999</v>
      </c>
      <c r="K82" t="s">
        <v>300</v>
      </c>
      <c r="N82">
        <v>4</v>
      </c>
      <c r="O82">
        <v>0.37190000000000001</v>
      </c>
      <c r="P82" t="s">
        <v>38</v>
      </c>
      <c r="Q82">
        <v>2</v>
      </c>
      <c r="R82" t="s">
        <v>1272</v>
      </c>
      <c r="S82" t="s">
        <v>1280</v>
      </c>
    </row>
    <row r="83" spans="1:19" hidden="1" x14ac:dyDescent="0.3">
      <c r="A83" t="s">
        <v>282</v>
      </c>
      <c r="B83" t="s">
        <v>283</v>
      </c>
      <c r="C83" t="s">
        <v>5</v>
      </c>
      <c r="D83">
        <v>17650</v>
      </c>
      <c r="E83" t="s">
        <v>195</v>
      </c>
      <c r="F83" t="s">
        <v>155</v>
      </c>
      <c r="G83" t="s">
        <v>196</v>
      </c>
      <c r="H83" t="s">
        <v>197</v>
      </c>
      <c r="I83" t="s">
        <v>25</v>
      </c>
      <c r="J83">
        <v>700</v>
      </c>
      <c r="K83" t="s">
        <v>198</v>
      </c>
      <c r="L83">
        <v>5</v>
      </c>
      <c r="M83">
        <v>4.4919000000000002</v>
      </c>
      <c r="P83" t="s">
        <v>33</v>
      </c>
      <c r="Q83">
        <v>1</v>
      </c>
      <c r="R83" t="s">
        <v>1272</v>
      </c>
      <c r="S83" t="s">
        <v>1286</v>
      </c>
    </row>
    <row r="84" spans="1:19" hidden="1" x14ac:dyDescent="0.3">
      <c r="A84" t="s">
        <v>282</v>
      </c>
      <c r="B84" t="s">
        <v>283</v>
      </c>
      <c r="C84" t="s">
        <v>5</v>
      </c>
      <c r="D84">
        <v>18422</v>
      </c>
      <c r="E84" t="s">
        <v>301</v>
      </c>
      <c r="F84" t="s">
        <v>302</v>
      </c>
      <c r="G84" t="s">
        <v>303</v>
      </c>
      <c r="H84" t="s">
        <v>304</v>
      </c>
      <c r="I84" t="s">
        <v>31</v>
      </c>
      <c r="J84">
        <v>500</v>
      </c>
      <c r="K84" t="s">
        <v>305</v>
      </c>
      <c r="N84">
        <v>5</v>
      </c>
      <c r="O84">
        <v>0.36609999999999998</v>
      </c>
      <c r="P84" t="s">
        <v>38</v>
      </c>
      <c r="Q84">
        <v>2</v>
      </c>
      <c r="R84" t="s">
        <v>1272</v>
      </c>
      <c r="S84" t="s">
        <v>1280</v>
      </c>
    </row>
    <row r="85" spans="1:19" hidden="1" x14ac:dyDescent="0.3">
      <c r="A85" t="s">
        <v>282</v>
      </c>
      <c r="B85" t="s">
        <v>283</v>
      </c>
      <c r="C85" t="s">
        <v>5</v>
      </c>
      <c r="D85">
        <v>17133</v>
      </c>
      <c r="E85" t="s">
        <v>306</v>
      </c>
      <c r="F85" t="s">
        <v>155</v>
      </c>
      <c r="G85" t="s">
        <v>187</v>
      </c>
      <c r="H85" t="s">
        <v>307</v>
      </c>
      <c r="I85" t="s">
        <v>31</v>
      </c>
      <c r="J85">
        <v>469</v>
      </c>
      <c r="K85" t="s">
        <v>308</v>
      </c>
      <c r="N85">
        <v>6</v>
      </c>
      <c r="O85">
        <v>0.36370000000000002</v>
      </c>
      <c r="P85" t="s">
        <v>38</v>
      </c>
      <c r="Q85">
        <v>1</v>
      </c>
      <c r="R85" t="s">
        <v>1272</v>
      </c>
      <c r="S85" t="s">
        <v>1288</v>
      </c>
    </row>
    <row r="86" spans="1:19" hidden="1" x14ac:dyDescent="0.3">
      <c r="A86" t="s">
        <v>282</v>
      </c>
      <c r="B86" t="s">
        <v>283</v>
      </c>
      <c r="C86" t="s">
        <v>5</v>
      </c>
      <c r="D86">
        <v>20650</v>
      </c>
      <c r="E86" t="s">
        <v>309</v>
      </c>
      <c r="F86" t="s">
        <v>60</v>
      </c>
      <c r="G86" t="s">
        <v>310</v>
      </c>
      <c r="H86" t="s">
        <v>311</v>
      </c>
      <c r="I86" t="s">
        <v>25</v>
      </c>
      <c r="J86">
        <v>878</v>
      </c>
      <c r="K86" t="s">
        <v>312</v>
      </c>
      <c r="L86">
        <v>6</v>
      </c>
      <c r="M86">
        <v>4.1566999999999998</v>
      </c>
      <c r="P86" t="s">
        <v>33</v>
      </c>
      <c r="Q86">
        <v>1</v>
      </c>
      <c r="R86" t="s">
        <v>1272</v>
      </c>
      <c r="S86" t="s">
        <v>1288</v>
      </c>
    </row>
    <row r="87" spans="1:19" hidden="1" x14ac:dyDescent="0.3">
      <c r="A87" t="s">
        <v>282</v>
      </c>
      <c r="B87" t="s">
        <v>283</v>
      </c>
      <c r="C87" t="s">
        <v>5</v>
      </c>
      <c r="D87">
        <v>12662</v>
      </c>
      <c r="E87" t="s">
        <v>313</v>
      </c>
      <c r="F87" t="s">
        <v>155</v>
      </c>
      <c r="G87" t="s">
        <v>314</v>
      </c>
      <c r="H87" t="s">
        <v>315</v>
      </c>
      <c r="I87" t="s">
        <v>31</v>
      </c>
      <c r="J87">
        <v>711</v>
      </c>
      <c r="K87" t="s">
        <v>316</v>
      </c>
      <c r="N87">
        <v>7</v>
      </c>
      <c r="O87">
        <v>0.36059999999999998</v>
      </c>
      <c r="P87" t="s">
        <v>38</v>
      </c>
      <c r="Q87">
        <v>1</v>
      </c>
      <c r="R87" t="s">
        <v>1272</v>
      </c>
      <c r="S87" t="s">
        <v>1288</v>
      </c>
    </row>
    <row r="88" spans="1:19" hidden="1" x14ac:dyDescent="0.3">
      <c r="A88" t="s">
        <v>282</v>
      </c>
      <c r="B88" t="s">
        <v>283</v>
      </c>
      <c r="C88" t="s">
        <v>5</v>
      </c>
      <c r="D88">
        <v>16102</v>
      </c>
      <c r="E88" t="s">
        <v>186</v>
      </c>
      <c r="F88" t="s">
        <v>155</v>
      </c>
      <c r="G88" t="s">
        <v>187</v>
      </c>
      <c r="H88" t="s">
        <v>188</v>
      </c>
      <c r="I88" t="s">
        <v>25</v>
      </c>
      <c r="J88">
        <v>8766</v>
      </c>
      <c r="K88" t="s">
        <v>189</v>
      </c>
      <c r="L88">
        <v>7</v>
      </c>
      <c r="M88">
        <v>4.0852000000000004</v>
      </c>
      <c r="P88" t="s">
        <v>33</v>
      </c>
      <c r="Q88">
        <v>1</v>
      </c>
      <c r="R88" t="s">
        <v>1272</v>
      </c>
      <c r="S88" t="s">
        <v>1288</v>
      </c>
    </row>
    <row r="89" spans="1:19" hidden="1" x14ac:dyDescent="0.3">
      <c r="A89" t="s">
        <v>282</v>
      </c>
      <c r="B89" t="s">
        <v>283</v>
      </c>
      <c r="C89" t="s">
        <v>5</v>
      </c>
      <c r="D89">
        <v>17649</v>
      </c>
      <c r="E89" t="s">
        <v>209</v>
      </c>
      <c r="F89" t="s">
        <v>155</v>
      </c>
      <c r="G89" t="s">
        <v>210</v>
      </c>
      <c r="H89" t="s">
        <v>211</v>
      </c>
      <c r="I89" t="s">
        <v>31</v>
      </c>
      <c r="J89">
        <v>471</v>
      </c>
      <c r="K89" t="s">
        <v>212</v>
      </c>
      <c r="L89">
        <v>8</v>
      </c>
      <c r="M89">
        <v>4.0757000000000003</v>
      </c>
      <c r="P89" t="s">
        <v>33</v>
      </c>
      <c r="Q89">
        <v>1</v>
      </c>
      <c r="R89" t="s">
        <v>1272</v>
      </c>
      <c r="S89" t="s">
        <v>1288</v>
      </c>
    </row>
    <row r="90" spans="1:19" hidden="1" x14ac:dyDescent="0.3">
      <c r="A90" t="s">
        <v>282</v>
      </c>
      <c r="B90" t="s">
        <v>283</v>
      </c>
      <c r="C90" t="s">
        <v>5</v>
      </c>
      <c r="D90">
        <v>10730</v>
      </c>
      <c r="E90" t="s">
        <v>317</v>
      </c>
      <c r="F90" t="s">
        <v>60</v>
      </c>
      <c r="G90" t="s">
        <v>318</v>
      </c>
      <c r="H90" t="s">
        <v>319</v>
      </c>
      <c r="I90" t="s">
        <v>25</v>
      </c>
      <c r="J90">
        <v>800</v>
      </c>
      <c r="K90" t="s">
        <v>320</v>
      </c>
      <c r="L90">
        <v>9</v>
      </c>
      <c r="M90">
        <v>3.8066</v>
      </c>
      <c r="P90" t="s">
        <v>33</v>
      </c>
      <c r="Q90">
        <v>1</v>
      </c>
      <c r="R90" t="s">
        <v>1272</v>
      </c>
      <c r="S90" t="s">
        <v>1288</v>
      </c>
    </row>
    <row r="91" spans="1:19" hidden="1" x14ac:dyDescent="0.3">
      <c r="A91" t="s">
        <v>282</v>
      </c>
      <c r="B91" t="s">
        <v>283</v>
      </c>
      <c r="C91" t="s">
        <v>5</v>
      </c>
      <c r="D91">
        <v>19312</v>
      </c>
      <c r="E91" t="s">
        <v>321</v>
      </c>
      <c r="F91" t="s">
        <v>322</v>
      </c>
      <c r="G91" t="s">
        <v>323</v>
      </c>
      <c r="H91" t="s">
        <v>324</v>
      </c>
      <c r="I91" t="s">
        <v>31</v>
      </c>
      <c r="J91">
        <v>2453</v>
      </c>
      <c r="K91" t="s">
        <v>325</v>
      </c>
      <c r="N91">
        <v>9</v>
      </c>
      <c r="O91">
        <v>0.35880000000000001</v>
      </c>
      <c r="P91" t="s">
        <v>38</v>
      </c>
      <c r="Q91">
        <v>2</v>
      </c>
      <c r="R91" t="s">
        <v>1272</v>
      </c>
      <c r="S91" t="s">
        <v>1280</v>
      </c>
    </row>
    <row r="92" spans="1:19" hidden="1" x14ac:dyDescent="0.3">
      <c r="A92" t="s">
        <v>282</v>
      </c>
      <c r="B92" t="s">
        <v>283</v>
      </c>
      <c r="C92" t="s">
        <v>5</v>
      </c>
      <c r="D92">
        <v>4828</v>
      </c>
      <c r="E92" t="s">
        <v>54</v>
      </c>
      <c r="F92" t="s">
        <v>55</v>
      </c>
      <c r="G92" t="s">
        <v>56</v>
      </c>
      <c r="H92" t="s">
        <v>57</v>
      </c>
      <c r="I92" t="s">
        <v>25</v>
      </c>
      <c r="J92">
        <v>546</v>
      </c>
      <c r="K92" t="s">
        <v>58</v>
      </c>
      <c r="L92">
        <v>10</v>
      </c>
      <c r="M92">
        <v>3.7827999999999999</v>
      </c>
      <c r="P92" t="s">
        <v>33</v>
      </c>
      <c r="Q92">
        <v>0</v>
      </c>
      <c r="R92" t="s">
        <v>1272</v>
      </c>
      <c r="S92" t="s">
        <v>1287</v>
      </c>
    </row>
    <row r="93" spans="1:19" hidden="1" x14ac:dyDescent="0.3">
      <c r="A93" t="s">
        <v>282</v>
      </c>
      <c r="B93" t="s">
        <v>283</v>
      </c>
      <c r="C93" t="s">
        <v>5</v>
      </c>
      <c r="D93">
        <v>9820</v>
      </c>
      <c r="E93" t="s">
        <v>150</v>
      </c>
      <c r="F93" t="s">
        <v>60</v>
      </c>
      <c r="G93" t="s">
        <v>151</v>
      </c>
      <c r="H93" t="s">
        <v>152</v>
      </c>
      <c r="I93" t="s">
        <v>25</v>
      </c>
      <c r="J93">
        <v>2512</v>
      </c>
      <c r="K93" t="s">
        <v>153</v>
      </c>
      <c r="N93">
        <v>10</v>
      </c>
      <c r="O93">
        <v>0.35720000000000002</v>
      </c>
      <c r="P93" t="s">
        <v>38</v>
      </c>
      <c r="Q93">
        <v>1</v>
      </c>
      <c r="R93" t="s">
        <v>1272</v>
      </c>
      <c r="S93" t="s">
        <v>1288</v>
      </c>
    </row>
    <row r="94" spans="1:19" hidden="1" x14ac:dyDescent="0.3">
      <c r="A94" t="s">
        <v>326</v>
      </c>
      <c r="B94" t="s">
        <v>327</v>
      </c>
      <c r="C94" t="s">
        <v>5</v>
      </c>
      <c r="D94">
        <v>19505</v>
      </c>
      <c r="E94" t="s">
        <v>328</v>
      </c>
      <c r="F94" t="s">
        <v>288</v>
      </c>
      <c r="G94" t="s">
        <v>329</v>
      </c>
      <c r="H94" t="s">
        <v>330</v>
      </c>
      <c r="I94" t="s">
        <v>31</v>
      </c>
      <c r="J94">
        <v>233</v>
      </c>
      <c r="K94" t="s">
        <v>331</v>
      </c>
      <c r="L94">
        <v>1</v>
      </c>
      <c r="M94">
        <v>10.4861</v>
      </c>
      <c r="P94" t="s">
        <v>33</v>
      </c>
      <c r="Q94">
        <v>2</v>
      </c>
      <c r="R94" t="s">
        <v>1272</v>
      </c>
      <c r="S94" t="s">
        <v>1280</v>
      </c>
    </row>
    <row r="95" spans="1:19" hidden="1" x14ac:dyDescent="0.3">
      <c r="A95" t="s">
        <v>326</v>
      </c>
      <c r="B95" t="s">
        <v>327</v>
      </c>
      <c r="C95" t="s">
        <v>5</v>
      </c>
      <c r="D95">
        <v>20259</v>
      </c>
      <c r="E95" t="s">
        <v>49</v>
      </c>
      <c r="F95" t="s">
        <v>50</v>
      </c>
      <c r="G95" t="s">
        <v>51</v>
      </c>
      <c r="H95" t="s">
        <v>52</v>
      </c>
      <c r="I95" t="s">
        <v>25</v>
      </c>
      <c r="J95">
        <v>313</v>
      </c>
      <c r="K95" t="s">
        <v>53</v>
      </c>
      <c r="N95">
        <v>1</v>
      </c>
      <c r="O95">
        <v>0.4572</v>
      </c>
      <c r="P95" t="s">
        <v>38</v>
      </c>
      <c r="Q95">
        <v>1</v>
      </c>
      <c r="R95" t="s">
        <v>1272</v>
      </c>
      <c r="S95" t="s">
        <v>1289</v>
      </c>
    </row>
    <row r="96" spans="1:19" hidden="1" x14ac:dyDescent="0.3">
      <c r="A96" t="s">
        <v>326</v>
      </c>
      <c r="B96" t="s">
        <v>327</v>
      </c>
      <c r="C96" t="s">
        <v>5</v>
      </c>
      <c r="D96">
        <v>19317</v>
      </c>
      <c r="E96" t="s">
        <v>44</v>
      </c>
      <c r="F96" t="s">
        <v>45</v>
      </c>
      <c r="G96" t="s">
        <v>46</v>
      </c>
      <c r="H96" t="s">
        <v>47</v>
      </c>
      <c r="I96" t="s">
        <v>31</v>
      </c>
      <c r="J96">
        <v>4168</v>
      </c>
      <c r="K96" t="s">
        <v>48</v>
      </c>
      <c r="N96">
        <v>2</v>
      </c>
      <c r="O96">
        <v>0.42370000000000002</v>
      </c>
      <c r="P96" t="s">
        <v>38</v>
      </c>
      <c r="Q96">
        <v>1</v>
      </c>
      <c r="R96" t="s">
        <v>1272</v>
      </c>
      <c r="S96" t="s">
        <v>1290</v>
      </c>
    </row>
    <row r="97" spans="1:19" hidden="1" x14ac:dyDescent="0.3">
      <c r="A97" t="s">
        <v>326</v>
      </c>
      <c r="B97" t="s">
        <v>327</v>
      </c>
      <c r="C97" t="s">
        <v>5</v>
      </c>
      <c r="D97">
        <v>19472</v>
      </c>
      <c r="E97" t="s">
        <v>332</v>
      </c>
      <c r="F97" t="s">
        <v>288</v>
      </c>
      <c r="G97" t="s">
        <v>333</v>
      </c>
      <c r="H97" t="s">
        <v>334</v>
      </c>
      <c r="I97" t="s">
        <v>31</v>
      </c>
      <c r="J97">
        <v>192</v>
      </c>
      <c r="K97" t="s">
        <v>335</v>
      </c>
      <c r="L97">
        <v>2</v>
      </c>
      <c r="M97">
        <v>9.2093000000000007</v>
      </c>
      <c r="P97" t="s">
        <v>33</v>
      </c>
      <c r="Q97">
        <v>2</v>
      </c>
      <c r="R97" t="s">
        <v>1272</v>
      </c>
      <c r="S97" t="s">
        <v>1280</v>
      </c>
    </row>
    <row r="98" spans="1:19" hidden="1" x14ac:dyDescent="0.3">
      <c r="A98" t="s">
        <v>326</v>
      </c>
      <c r="B98" t="s">
        <v>327</v>
      </c>
      <c r="C98" t="s">
        <v>5</v>
      </c>
      <c r="D98">
        <v>13094</v>
      </c>
      <c r="E98" t="s">
        <v>336</v>
      </c>
      <c r="F98" t="s">
        <v>288</v>
      </c>
      <c r="G98" t="s">
        <v>337</v>
      </c>
      <c r="H98" t="s">
        <v>338</v>
      </c>
      <c r="I98" t="s">
        <v>31</v>
      </c>
      <c r="J98">
        <v>720</v>
      </c>
      <c r="K98" t="s">
        <v>339</v>
      </c>
      <c r="L98">
        <v>6</v>
      </c>
      <c r="M98">
        <v>8.3263999999999996</v>
      </c>
      <c r="N98">
        <v>3</v>
      </c>
      <c r="O98">
        <v>0.3952</v>
      </c>
      <c r="P98" t="s">
        <v>27</v>
      </c>
      <c r="Q98">
        <v>2</v>
      </c>
      <c r="R98" t="s">
        <v>1272</v>
      </c>
      <c r="S98" t="s">
        <v>1280</v>
      </c>
    </row>
    <row r="99" spans="1:19" hidden="1" x14ac:dyDescent="0.3">
      <c r="A99" t="s">
        <v>326</v>
      </c>
      <c r="B99" t="s">
        <v>327</v>
      </c>
      <c r="C99" t="s">
        <v>5</v>
      </c>
      <c r="D99">
        <v>13970</v>
      </c>
      <c r="E99" t="s">
        <v>287</v>
      </c>
      <c r="F99" t="s">
        <v>288</v>
      </c>
      <c r="G99" t="s">
        <v>289</v>
      </c>
      <c r="H99" t="s">
        <v>290</v>
      </c>
      <c r="I99" t="s">
        <v>31</v>
      </c>
      <c r="J99">
        <v>670</v>
      </c>
      <c r="K99" t="s">
        <v>291</v>
      </c>
      <c r="L99">
        <v>3</v>
      </c>
      <c r="M99">
        <v>8.6456</v>
      </c>
      <c r="N99">
        <v>8</v>
      </c>
      <c r="O99">
        <v>0.38100000000000001</v>
      </c>
      <c r="P99" t="s">
        <v>27</v>
      </c>
      <c r="Q99">
        <v>2</v>
      </c>
      <c r="R99" t="s">
        <v>1272</v>
      </c>
      <c r="S99" t="s">
        <v>1280</v>
      </c>
    </row>
    <row r="100" spans="1:19" hidden="1" x14ac:dyDescent="0.3">
      <c r="A100" t="s">
        <v>326</v>
      </c>
      <c r="B100" t="s">
        <v>327</v>
      </c>
      <c r="C100" t="s">
        <v>5</v>
      </c>
      <c r="D100">
        <v>4203</v>
      </c>
      <c r="E100" t="s">
        <v>340</v>
      </c>
      <c r="F100" t="s">
        <v>288</v>
      </c>
      <c r="G100" t="s">
        <v>341</v>
      </c>
      <c r="H100" t="s">
        <v>342</v>
      </c>
      <c r="I100" t="s">
        <v>25</v>
      </c>
      <c r="J100">
        <v>254</v>
      </c>
      <c r="K100" t="s">
        <v>343</v>
      </c>
      <c r="L100">
        <v>4</v>
      </c>
      <c r="M100">
        <v>8.5561000000000007</v>
      </c>
      <c r="P100" t="s">
        <v>33</v>
      </c>
      <c r="Q100">
        <v>2</v>
      </c>
      <c r="R100" t="s">
        <v>1272</v>
      </c>
      <c r="S100" t="s">
        <v>1280</v>
      </c>
    </row>
    <row r="101" spans="1:19" hidden="1" x14ac:dyDescent="0.3">
      <c r="A101" t="s">
        <v>326</v>
      </c>
      <c r="B101" t="s">
        <v>327</v>
      </c>
      <c r="C101" t="s">
        <v>5</v>
      </c>
      <c r="D101">
        <v>9821</v>
      </c>
      <c r="E101" t="s">
        <v>21</v>
      </c>
      <c r="F101" t="s">
        <v>22</v>
      </c>
      <c r="G101" t="s">
        <v>23</v>
      </c>
      <c r="H101" t="s">
        <v>24</v>
      </c>
      <c r="I101" t="s">
        <v>25</v>
      </c>
      <c r="J101">
        <v>998</v>
      </c>
      <c r="K101" t="s">
        <v>26</v>
      </c>
      <c r="N101">
        <v>4</v>
      </c>
      <c r="O101">
        <v>0.39369999999999999</v>
      </c>
      <c r="P101" t="s">
        <v>38</v>
      </c>
      <c r="Q101">
        <v>1</v>
      </c>
      <c r="R101" t="s">
        <v>1272</v>
      </c>
      <c r="S101" t="s">
        <v>1291</v>
      </c>
    </row>
    <row r="102" spans="1:19" hidden="1" x14ac:dyDescent="0.3">
      <c r="A102" t="s">
        <v>326</v>
      </c>
      <c r="B102" t="s">
        <v>327</v>
      </c>
      <c r="C102" t="s">
        <v>5</v>
      </c>
      <c r="D102">
        <v>18583</v>
      </c>
      <c r="E102" t="s">
        <v>344</v>
      </c>
      <c r="F102" t="s">
        <v>345</v>
      </c>
      <c r="G102" t="s">
        <v>346</v>
      </c>
      <c r="H102" t="s">
        <v>347</v>
      </c>
      <c r="I102" t="s">
        <v>25</v>
      </c>
      <c r="J102">
        <v>2534</v>
      </c>
      <c r="K102" t="s">
        <v>348</v>
      </c>
      <c r="L102">
        <v>5</v>
      </c>
      <c r="M102">
        <v>8.5492000000000008</v>
      </c>
      <c r="P102" t="s">
        <v>33</v>
      </c>
      <c r="Q102">
        <v>2</v>
      </c>
      <c r="R102" t="s">
        <v>1272</v>
      </c>
      <c r="S102" t="s">
        <v>1280</v>
      </c>
    </row>
    <row r="103" spans="1:19" hidden="1" x14ac:dyDescent="0.3">
      <c r="A103" t="s">
        <v>326</v>
      </c>
      <c r="B103" t="s">
        <v>327</v>
      </c>
      <c r="C103" t="s">
        <v>5</v>
      </c>
      <c r="D103">
        <v>20803</v>
      </c>
      <c r="E103" t="s">
        <v>94</v>
      </c>
      <c r="F103" t="s">
        <v>95</v>
      </c>
      <c r="G103" t="s">
        <v>96</v>
      </c>
      <c r="H103" t="s">
        <v>97</v>
      </c>
      <c r="I103" t="s">
        <v>31</v>
      </c>
      <c r="J103">
        <v>100</v>
      </c>
      <c r="K103" t="s">
        <v>98</v>
      </c>
      <c r="N103">
        <v>5</v>
      </c>
      <c r="O103">
        <v>0.39079999999999998</v>
      </c>
      <c r="P103" t="s">
        <v>38</v>
      </c>
      <c r="Q103">
        <v>1</v>
      </c>
      <c r="R103" t="s">
        <v>1272</v>
      </c>
      <c r="S103" t="s">
        <v>1284</v>
      </c>
    </row>
    <row r="104" spans="1:19" hidden="1" x14ac:dyDescent="0.3">
      <c r="A104" t="s">
        <v>326</v>
      </c>
      <c r="B104" t="s">
        <v>327</v>
      </c>
      <c r="C104" t="s">
        <v>5</v>
      </c>
      <c r="D104">
        <v>18703</v>
      </c>
      <c r="E104" t="s">
        <v>116</v>
      </c>
      <c r="F104" t="s">
        <v>117</v>
      </c>
      <c r="G104" t="s">
        <v>118</v>
      </c>
      <c r="H104" t="s">
        <v>119</v>
      </c>
      <c r="I104" t="s">
        <v>31</v>
      </c>
      <c r="J104">
        <v>303</v>
      </c>
      <c r="K104" t="s">
        <v>120</v>
      </c>
      <c r="N104">
        <v>6</v>
      </c>
      <c r="O104">
        <v>0.38769999999999999</v>
      </c>
      <c r="P104" t="s">
        <v>38</v>
      </c>
      <c r="Q104">
        <v>1</v>
      </c>
      <c r="R104" t="s">
        <v>1272</v>
      </c>
      <c r="S104" t="s">
        <v>1284</v>
      </c>
    </row>
    <row r="105" spans="1:19" hidden="1" x14ac:dyDescent="0.3">
      <c r="A105" t="s">
        <v>326</v>
      </c>
      <c r="B105" t="s">
        <v>327</v>
      </c>
      <c r="C105" t="s">
        <v>5</v>
      </c>
      <c r="D105">
        <v>11918</v>
      </c>
      <c r="E105" t="s">
        <v>133</v>
      </c>
      <c r="F105" t="s">
        <v>60</v>
      </c>
      <c r="G105" t="s">
        <v>134</v>
      </c>
      <c r="H105" t="s">
        <v>135</v>
      </c>
      <c r="I105" t="s">
        <v>25</v>
      </c>
      <c r="J105">
        <v>3604</v>
      </c>
      <c r="K105" t="s">
        <v>136</v>
      </c>
      <c r="N105">
        <v>7</v>
      </c>
      <c r="O105">
        <v>0.38390000000000002</v>
      </c>
      <c r="P105" t="s">
        <v>38</v>
      </c>
      <c r="Q105">
        <v>0</v>
      </c>
      <c r="R105" t="s">
        <v>1272</v>
      </c>
      <c r="S105" t="s">
        <v>1274</v>
      </c>
    </row>
    <row r="106" spans="1:19" hidden="1" x14ac:dyDescent="0.3">
      <c r="A106" t="s">
        <v>326</v>
      </c>
      <c r="B106" t="s">
        <v>327</v>
      </c>
      <c r="C106" t="s">
        <v>5</v>
      </c>
      <c r="D106">
        <v>16201</v>
      </c>
      <c r="E106" t="s">
        <v>349</v>
      </c>
      <c r="F106" t="s">
        <v>288</v>
      </c>
      <c r="G106" t="s">
        <v>350</v>
      </c>
      <c r="H106" t="s">
        <v>351</v>
      </c>
      <c r="I106" t="s">
        <v>352</v>
      </c>
      <c r="J106">
        <v>1213</v>
      </c>
      <c r="K106" t="s">
        <v>353</v>
      </c>
      <c r="L106">
        <v>7</v>
      </c>
      <c r="M106">
        <v>8.2205999999999992</v>
      </c>
      <c r="P106" t="s">
        <v>33</v>
      </c>
      <c r="Q106">
        <v>2</v>
      </c>
      <c r="R106" t="s">
        <v>1272</v>
      </c>
      <c r="S106" t="s">
        <v>1280</v>
      </c>
    </row>
    <row r="107" spans="1:19" hidden="1" x14ac:dyDescent="0.3">
      <c r="A107" t="s">
        <v>326</v>
      </c>
      <c r="B107" t="s">
        <v>327</v>
      </c>
      <c r="C107" t="s">
        <v>5</v>
      </c>
      <c r="D107">
        <v>5049</v>
      </c>
      <c r="E107" t="s">
        <v>354</v>
      </c>
      <c r="F107" t="s">
        <v>288</v>
      </c>
      <c r="G107" t="s">
        <v>355</v>
      </c>
      <c r="H107" t="s">
        <v>356</v>
      </c>
      <c r="I107" t="s">
        <v>25</v>
      </c>
      <c r="J107">
        <v>306</v>
      </c>
      <c r="K107" t="s">
        <v>357</v>
      </c>
      <c r="L107">
        <v>8</v>
      </c>
      <c r="M107">
        <v>7.9645000000000001</v>
      </c>
      <c r="N107">
        <v>9</v>
      </c>
      <c r="O107">
        <v>0.37919999999999998</v>
      </c>
      <c r="P107" t="s">
        <v>27</v>
      </c>
      <c r="Q107">
        <v>2</v>
      </c>
      <c r="R107" t="s">
        <v>1272</v>
      </c>
      <c r="S107" t="s">
        <v>1280</v>
      </c>
    </row>
    <row r="108" spans="1:19" hidden="1" x14ac:dyDescent="0.3">
      <c r="A108" t="s">
        <v>326</v>
      </c>
      <c r="B108" t="s">
        <v>327</v>
      </c>
      <c r="C108" t="s">
        <v>5</v>
      </c>
      <c r="D108">
        <v>13739</v>
      </c>
      <c r="E108" t="s">
        <v>358</v>
      </c>
      <c r="F108" t="s">
        <v>288</v>
      </c>
      <c r="G108" t="s">
        <v>359</v>
      </c>
      <c r="H108" t="s">
        <v>360</v>
      </c>
      <c r="I108" t="s">
        <v>31</v>
      </c>
      <c r="J108">
        <v>610</v>
      </c>
      <c r="K108" t="s">
        <v>361</v>
      </c>
      <c r="L108">
        <v>9</v>
      </c>
      <c r="M108">
        <v>7.8384999999999998</v>
      </c>
      <c r="P108" t="s">
        <v>33</v>
      </c>
      <c r="Q108">
        <v>2</v>
      </c>
      <c r="R108" t="s">
        <v>1272</v>
      </c>
      <c r="S108" t="s">
        <v>1280</v>
      </c>
    </row>
    <row r="109" spans="1:19" hidden="1" x14ac:dyDescent="0.3">
      <c r="A109" t="s">
        <v>326</v>
      </c>
      <c r="B109" t="s">
        <v>327</v>
      </c>
      <c r="C109" t="s">
        <v>5</v>
      </c>
      <c r="D109">
        <v>1097</v>
      </c>
      <c r="E109" t="s">
        <v>362</v>
      </c>
      <c r="F109" t="s">
        <v>288</v>
      </c>
      <c r="G109" t="s">
        <v>363</v>
      </c>
      <c r="H109" t="s">
        <v>364</v>
      </c>
      <c r="I109" t="s">
        <v>25</v>
      </c>
      <c r="J109">
        <v>280</v>
      </c>
      <c r="K109" t="s">
        <v>365</v>
      </c>
      <c r="L109">
        <v>10</v>
      </c>
      <c r="M109">
        <v>7.7617000000000003</v>
      </c>
      <c r="P109" t="s">
        <v>33</v>
      </c>
      <c r="Q109">
        <v>2</v>
      </c>
      <c r="R109" t="s">
        <v>1272</v>
      </c>
      <c r="S109" t="s">
        <v>1280</v>
      </c>
    </row>
    <row r="110" spans="1:19" hidden="1" x14ac:dyDescent="0.3">
      <c r="A110" t="s">
        <v>326</v>
      </c>
      <c r="B110" t="s">
        <v>327</v>
      </c>
      <c r="C110" t="s">
        <v>5</v>
      </c>
      <c r="D110">
        <v>13514</v>
      </c>
      <c r="E110" t="s">
        <v>64</v>
      </c>
      <c r="F110" t="s">
        <v>60</v>
      </c>
      <c r="G110" t="s">
        <v>65</v>
      </c>
      <c r="H110" t="s">
        <v>66</v>
      </c>
      <c r="I110" t="s">
        <v>31</v>
      </c>
      <c r="J110">
        <v>587</v>
      </c>
      <c r="K110" t="s">
        <v>67</v>
      </c>
      <c r="N110">
        <v>10</v>
      </c>
      <c r="O110">
        <v>0.37590000000000001</v>
      </c>
      <c r="P110" t="s">
        <v>38</v>
      </c>
      <c r="Q110">
        <v>0</v>
      </c>
      <c r="R110" t="s">
        <v>1272</v>
      </c>
      <c r="S110" t="s">
        <v>1292</v>
      </c>
    </row>
    <row r="111" spans="1:19" hidden="1" x14ac:dyDescent="0.3">
      <c r="A111" t="s">
        <v>366</v>
      </c>
      <c r="B111" t="s">
        <v>367</v>
      </c>
      <c r="C111" t="s">
        <v>5</v>
      </c>
      <c r="D111">
        <v>18703</v>
      </c>
      <c r="E111" t="s">
        <v>116</v>
      </c>
      <c r="F111" t="s">
        <v>117</v>
      </c>
      <c r="G111" t="s">
        <v>118</v>
      </c>
      <c r="H111" t="s">
        <v>119</v>
      </c>
      <c r="I111" t="s">
        <v>31</v>
      </c>
      <c r="J111">
        <v>303</v>
      </c>
      <c r="K111" t="s">
        <v>120</v>
      </c>
      <c r="N111">
        <v>1</v>
      </c>
      <c r="O111">
        <v>0.43790000000000001</v>
      </c>
      <c r="P111" t="s">
        <v>38</v>
      </c>
      <c r="Q111">
        <v>2</v>
      </c>
      <c r="R111" t="s">
        <v>1272</v>
      </c>
      <c r="S111" t="s">
        <v>1280</v>
      </c>
    </row>
    <row r="112" spans="1:19" hidden="1" x14ac:dyDescent="0.3">
      <c r="A112" t="s">
        <v>366</v>
      </c>
      <c r="B112" t="s">
        <v>367</v>
      </c>
      <c r="C112" t="s">
        <v>5</v>
      </c>
      <c r="D112">
        <v>18746</v>
      </c>
      <c r="E112" t="s">
        <v>253</v>
      </c>
      <c r="F112" t="s">
        <v>254</v>
      </c>
      <c r="G112" t="s">
        <v>255</v>
      </c>
      <c r="H112" t="s">
        <v>256</v>
      </c>
      <c r="I112" t="s">
        <v>25</v>
      </c>
      <c r="J112">
        <v>1493</v>
      </c>
      <c r="K112" t="s">
        <v>257</v>
      </c>
      <c r="L112">
        <v>1</v>
      </c>
      <c r="M112">
        <v>8.0856999999999992</v>
      </c>
      <c r="P112" t="s">
        <v>33</v>
      </c>
      <c r="Q112">
        <v>2</v>
      </c>
      <c r="R112" t="s">
        <v>1272</v>
      </c>
      <c r="S112" t="s">
        <v>1280</v>
      </c>
    </row>
    <row r="113" spans="1:19" hidden="1" x14ac:dyDescent="0.3">
      <c r="A113" t="s">
        <v>366</v>
      </c>
      <c r="B113" t="s">
        <v>367</v>
      </c>
      <c r="C113" t="s">
        <v>5</v>
      </c>
      <c r="D113">
        <v>17792</v>
      </c>
      <c r="E113" t="s">
        <v>229</v>
      </c>
      <c r="F113" t="s">
        <v>230</v>
      </c>
      <c r="G113" t="s">
        <v>231</v>
      </c>
      <c r="H113" t="s">
        <v>232</v>
      </c>
      <c r="I113" t="s">
        <v>31</v>
      </c>
      <c r="J113">
        <v>564</v>
      </c>
      <c r="K113" t="s">
        <v>233</v>
      </c>
      <c r="L113">
        <v>2</v>
      </c>
      <c r="M113">
        <v>6.4473000000000003</v>
      </c>
      <c r="P113" t="s">
        <v>33</v>
      </c>
      <c r="Q113">
        <v>2</v>
      </c>
      <c r="R113" t="s">
        <v>1272</v>
      </c>
      <c r="S113" t="s">
        <v>1280</v>
      </c>
    </row>
    <row r="114" spans="1:19" hidden="1" x14ac:dyDescent="0.3">
      <c r="A114" t="s">
        <v>366</v>
      </c>
      <c r="B114" t="s">
        <v>367</v>
      </c>
      <c r="C114" t="s">
        <v>5</v>
      </c>
      <c r="D114">
        <v>20773</v>
      </c>
      <c r="E114" t="s">
        <v>109</v>
      </c>
      <c r="F114" t="s">
        <v>60</v>
      </c>
      <c r="G114" t="s">
        <v>41</v>
      </c>
      <c r="H114" t="s">
        <v>110</v>
      </c>
      <c r="I114" t="s">
        <v>25</v>
      </c>
      <c r="J114">
        <v>1156</v>
      </c>
      <c r="K114" t="s">
        <v>111</v>
      </c>
      <c r="N114">
        <v>2</v>
      </c>
      <c r="O114">
        <v>0.43659999999999999</v>
      </c>
      <c r="P114" t="s">
        <v>38</v>
      </c>
      <c r="Q114">
        <v>0</v>
      </c>
      <c r="R114" t="s">
        <v>1272</v>
      </c>
      <c r="S114" t="s">
        <v>1275</v>
      </c>
    </row>
    <row r="115" spans="1:19" hidden="1" x14ac:dyDescent="0.3">
      <c r="A115" t="s">
        <v>366</v>
      </c>
      <c r="B115" t="s">
        <v>367</v>
      </c>
      <c r="C115" t="s">
        <v>5</v>
      </c>
      <c r="D115">
        <v>18262</v>
      </c>
      <c r="E115" t="s">
        <v>141</v>
      </c>
      <c r="F115" t="s">
        <v>142</v>
      </c>
      <c r="G115" t="s">
        <v>143</v>
      </c>
      <c r="H115" t="s">
        <v>144</v>
      </c>
      <c r="I115" t="s">
        <v>25</v>
      </c>
      <c r="J115">
        <v>426</v>
      </c>
      <c r="K115" t="s">
        <v>145</v>
      </c>
      <c r="L115">
        <v>5</v>
      </c>
      <c r="M115">
        <v>5.2587999999999999</v>
      </c>
      <c r="N115">
        <v>3</v>
      </c>
      <c r="O115">
        <v>0.42459999999999998</v>
      </c>
      <c r="P115" t="s">
        <v>27</v>
      </c>
      <c r="Q115">
        <v>2</v>
      </c>
      <c r="R115" t="s">
        <v>1272</v>
      </c>
      <c r="S115" t="s">
        <v>1280</v>
      </c>
    </row>
    <row r="116" spans="1:19" hidden="1" x14ac:dyDescent="0.3">
      <c r="A116" t="s">
        <v>366</v>
      </c>
      <c r="B116" t="s">
        <v>367</v>
      </c>
      <c r="C116" t="s">
        <v>5</v>
      </c>
      <c r="D116">
        <v>20775</v>
      </c>
      <c r="E116" t="s">
        <v>368</v>
      </c>
      <c r="F116" t="s">
        <v>369</v>
      </c>
      <c r="G116" t="s">
        <v>41</v>
      </c>
      <c r="H116" t="s">
        <v>370</v>
      </c>
      <c r="I116" t="s">
        <v>25</v>
      </c>
      <c r="J116">
        <v>912</v>
      </c>
      <c r="K116" t="s">
        <v>371</v>
      </c>
      <c r="L116">
        <v>3</v>
      </c>
      <c r="M116">
        <v>5.6986999999999997</v>
      </c>
      <c r="N116">
        <v>9</v>
      </c>
      <c r="O116">
        <v>0.4</v>
      </c>
      <c r="P116" t="s">
        <v>27</v>
      </c>
      <c r="Q116">
        <v>2</v>
      </c>
      <c r="R116" t="s">
        <v>1272</v>
      </c>
      <c r="S116" t="s">
        <v>1280</v>
      </c>
    </row>
    <row r="117" spans="1:19" hidden="1" x14ac:dyDescent="0.3">
      <c r="A117" t="s">
        <v>366</v>
      </c>
      <c r="B117" t="s">
        <v>367</v>
      </c>
      <c r="C117" t="s">
        <v>5</v>
      </c>
      <c r="D117">
        <v>18075</v>
      </c>
      <c r="E117" t="s">
        <v>372</v>
      </c>
      <c r="F117" t="s">
        <v>230</v>
      </c>
      <c r="G117" t="s">
        <v>373</v>
      </c>
      <c r="H117" t="s">
        <v>374</v>
      </c>
      <c r="I117" t="s">
        <v>31</v>
      </c>
      <c r="J117">
        <v>272</v>
      </c>
      <c r="K117" t="s">
        <v>375</v>
      </c>
      <c r="L117">
        <v>4</v>
      </c>
      <c r="M117">
        <v>5.3776999999999999</v>
      </c>
      <c r="P117" t="s">
        <v>33</v>
      </c>
      <c r="Q117">
        <v>2</v>
      </c>
      <c r="R117" t="s">
        <v>1272</v>
      </c>
      <c r="S117" t="s">
        <v>1280</v>
      </c>
    </row>
    <row r="118" spans="1:19" hidden="1" x14ac:dyDescent="0.3">
      <c r="A118" t="s">
        <v>366</v>
      </c>
      <c r="B118" t="s">
        <v>367</v>
      </c>
      <c r="C118" t="s">
        <v>5</v>
      </c>
      <c r="D118">
        <v>19317</v>
      </c>
      <c r="E118" t="s">
        <v>44</v>
      </c>
      <c r="F118" t="s">
        <v>45</v>
      </c>
      <c r="G118" t="s">
        <v>46</v>
      </c>
      <c r="H118" t="s">
        <v>47</v>
      </c>
      <c r="I118" t="s">
        <v>31</v>
      </c>
      <c r="J118">
        <v>4168</v>
      </c>
      <c r="K118" t="s">
        <v>48</v>
      </c>
      <c r="N118">
        <v>4</v>
      </c>
      <c r="O118">
        <v>0.41510000000000002</v>
      </c>
      <c r="P118" t="s">
        <v>38</v>
      </c>
      <c r="Q118">
        <v>1</v>
      </c>
      <c r="R118" t="s">
        <v>1272</v>
      </c>
      <c r="S118" t="s">
        <v>1293</v>
      </c>
    </row>
    <row r="119" spans="1:19" hidden="1" x14ac:dyDescent="0.3">
      <c r="A119" t="s">
        <v>366</v>
      </c>
      <c r="B119" t="s">
        <v>367</v>
      </c>
      <c r="C119" t="s">
        <v>5</v>
      </c>
      <c r="D119">
        <v>13514</v>
      </c>
      <c r="E119" t="s">
        <v>64</v>
      </c>
      <c r="F119" t="s">
        <v>60</v>
      </c>
      <c r="G119" t="s">
        <v>65</v>
      </c>
      <c r="H119" t="s">
        <v>66</v>
      </c>
      <c r="I119" t="s">
        <v>31</v>
      </c>
      <c r="J119">
        <v>587</v>
      </c>
      <c r="K119" t="s">
        <v>67</v>
      </c>
      <c r="N119">
        <v>5</v>
      </c>
      <c r="O119">
        <v>0.41420000000000001</v>
      </c>
      <c r="P119" t="s">
        <v>38</v>
      </c>
      <c r="Q119">
        <v>0</v>
      </c>
      <c r="R119" t="s">
        <v>1272</v>
      </c>
      <c r="S119" t="s">
        <v>1275</v>
      </c>
    </row>
    <row r="120" spans="1:19" hidden="1" x14ac:dyDescent="0.3">
      <c r="A120" t="s">
        <v>366</v>
      </c>
      <c r="B120" t="s">
        <v>367</v>
      </c>
      <c r="C120" t="s">
        <v>5</v>
      </c>
      <c r="D120">
        <v>20259</v>
      </c>
      <c r="E120" t="s">
        <v>49</v>
      </c>
      <c r="F120" t="s">
        <v>50</v>
      </c>
      <c r="G120" t="s">
        <v>51</v>
      </c>
      <c r="H120" t="s">
        <v>52</v>
      </c>
      <c r="I120" t="s">
        <v>25</v>
      </c>
      <c r="J120">
        <v>313</v>
      </c>
      <c r="K120" t="s">
        <v>53</v>
      </c>
      <c r="L120">
        <v>7</v>
      </c>
      <c r="M120">
        <v>5.2324999999999999</v>
      </c>
      <c r="N120">
        <v>6</v>
      </c>
      <c r="O120">
        <v>0.4098</v>
      </c>
      <c r="P120" t="s">
        <v>27</v>
      </c>
      <c r="Q120">
        <v>2</v>
      </c>
      <c r="R120" t="s">
        <v>1272</v>
      </c>
      <c r="S120" t="s">
        <v>1280</v>
      </c>
    </row>
    <row r="121" spans="1:19" hidden="1" x14ac:dyDescent="0.3">
      <c r="A121" t="s">
        <v>366</v>
      </c>
      <c r="B121" t="s">
        <v>367</v>
      </c>
      <c r="C121" t="s">
        <v>5</v>
      </c>
      <c r="D121">
        <v>20359</v>
      </c>
      <c r="E121" t="s">
        <v>376</v>
      </c>
      <c r="F121" t="s">
        <v>377</v>
      </c>
      <c r="G121" t="s">
        <v>378</v>
      </c>
      <c r="H121" t="s">
        <v>379</v>
      </c>
      <c r="I121" t="s">
        <v>25</v>
      </c>
      <c r="J121">
        <v>452</v>
      </c>
      <c r="K121" t="s">
        <v>380</v>
      </c>
      <c r="L121">
        <v>6</v>
      </c>
      <c r="M121">
        <v>5.2431999999999999</v>
      </c>
      <c r="P121" t="s">
        <v>33</v>
      </c>
      <c r="Q121">
        <v>2</v>
      </c>
      <c r="R121" t="s">
        <v>1272</v>
      </c>
      <c r="S121" t="s">
        <v>1280</v>
      </c>
    </row>
    <row r="122" spans="1:19" hidden="1" x14ac:dyDescent="0.3">
      <c r="A122" t="s">
        <v>366</v>
      </c>
      <c r="B122" t="s">
        <v>367</v>
      </c>
      <c r="C122" t="s">
        <v>5</v>
      </c>
      <c r="D122">
        <v>9820</v>
      </c>
      <c r="E122" t="s">
        <v>150</v>
      </c>
      <c r="F122" t="s">
        <v>60</v>
      </c>
      <c r="G122" t="s">
        <v>151</v>
      </c>
      <c r="H122" t="s">
        <v>152</v>
      </c>
      <c r="I122" t="s">
        <v>25</v>
      </c>
      <c r="J122">
        <v>2512</v>
      </c>
      <c r="K122" t="s">
        <v>153</v>
      </c>
      <c r="N122">
        <v>7</v>
      </c>
      <c r="O122">
        <v>0.40510000000000002</v>
      </c>
      <c r="P122" t="s">
        <v>38</v>
      </c>
      <c r="Q122">
        <v>0</v>
      </c>
      <c r="R122" t="s">
        <v>1272</v>
      </c>
      <c r="S122" t="s">
        <v>1275</v>
      </c>
    </row>
    <row r="123" spans="1:19" hidden="1" x14ac:dyDescent="0.3">
      <c r="A123" t="s">
        <v>366</v>
      </c>
      <c r="B123" t="s">
        <v>367</v>
      </c>
      <c r="C123" t="s">
        <v>5</v>
      </c>
      <c r="D123">
        <v>12068</v>
      </c>
      <c r="E123" t="s">
        <v>121</v>
      </c>
      <c r="F123" t="s">
        <v>60</v>
      </c>
      <c r="G123" t="s">
        <v>122</v>
      </c>
      <c r="H123" t="s">
        <v>123</v>
      </c>
      <c r="I123" t="s">
        <v>31</v>
      </c>
      <c r="J123">
        <v>7237</v>
      </c>
      <c r="K123" t="s">
        <v>124</v>
      </c>
      <c r="N123">
        <v>8</v>
      </c>
      <c r="O123">
        <v>0.40129999999999999</v>
      </c>
      <c r="P123" t="s">
        <v>38</v>
      </c>
      <c r="Q123">
        <v>0</v>
      </c>
      <c r="R123" t="s">
        <v>1272</v>
      </c>
      <c r="S123" t="s">
        <v>1275</v>
      </c>
    </row>
    <row r="124" spans="1:19" hidden="1" x14ac:dyDescent="0.3">
      <c r="A124" t="s">
        <v>366</v>
      </c>
      <c r="B124" t="s">
        <v>367</v>
      </c>
      <c r="C124" t="s">
        <v>5</v>
      </c>
      <c r="D124">
        <v>14714</v>
      </c>
      <c r="E124" t="s">
        <v>381</v>
      </c>
      <c r="F124" t="s">
        <v>230</v>
      </c>
      <c r="G124" t="s">
        <v>382</v>
      </c>
      <c r="H124" t="s">
        <v>383</v>
      </c>
      <c r="I124" t="s">
        <v>25</v>
      </c>
      <c r="J124">
        <v>340</v>
      </c>
      <c r="K124" t="s">
        <v>384</v>
      </c>
      <c r="L124">
        <v>8</v>
      </c>
      <c r="M124">
        <v>5.0811999999999999</v>
      </c>
      <c r="P124" t="s">
        <v>33</v>
      </c>
      <c r="Q124">
        <v>2</v>
      </c>
      <c r="R124" t="s">
        <v>1272</v>
      </c>
      <c r="S124" t="s">
        <v>1280</v>
      </c>
    </row>
    <row r="125" spans="1:19" hidden="1" x14ac:dyDescent="0.3">
      <c r="A125" t="s">
        <v>366</v>
      </c>
      <c r="B125" t="s">
        <v>367</v>
      </c>
      <c r="C125" t="s">
        <v>5</v>
      </c>
      <c r="D125">
        <v>17972</v>
      </c>
      <c r="E125" t="s">
        <v>385</v>
      </c>
      <c r="F125" t="s">
        <v>230</v>
      </c>
      <c r="G125" t="s">
        <v>386</v>
      </c>
      <c r="H125" t="s">
        <v>387</v>
      </c>
      <c r="I125" t="s">
        <v>31</v>
      </c>
      <c r="J125">
        <v>544</v>
      </c>
      <c r="K125" t="s">
        <v>388</v>
      </c>
      <c r="L125">
        <v>9</v>
      </c>
      <c r="M125">
        <v>5.0182000000000002</v>
      </c>
      <c r="P125" t="s">
        <v>33</v>
      </c>
      <c r="Q125">
        <v>2</v>
      </c>
      <c r="R125" t="s">
        <v>1272</v>
      </c>
      <c r="S125" t="s">
        <v>1280</v>
      </c>
    </row>
    <row r="126" spans="1:19" hidden="1" x14ac:dyDescent="0.3">
      <c r="A126" t="s">
        <v>366</v>
      </c>
      <c r="B126" t="s">
        <v>367</v>
      </c>
      <c r="C126" t="s">
        <v>5</v>
      </c>
      <c r="D126">
        <v>171</v>
      </c>
      <c r="E126" t="s">
        <v>102</v>
      </c>
      <c r="F126" t="s">
        <v>103</v>
      </c>
      <c r="G126" t="s">
        <v>104</v>
      </c>
      <c r="H126" t="s">
        <v>105</v>
      </c>
      <c r="I126" t="s">
        <v>31</v>
      </c>
      <c r="J126">
        <v>474</v>
      </c>
      <c r="K126" t="s">
        <v>106</v>
      </c>
      <c r="N126">
        <v>10</v>
      </c>
      <c r="O126">
        <v>0.39679999999999999</v>
      </c>
      <c r="P126" t="s">
        <v>38</v>
      </c>
      <c r="Q126">
        <v>0</v>
      </c>
      <c r="R126" t="s">
        <v>1272</v>
      </c>
      <c r="S126" t="s">
        <v>1294</v>
      </c>
    </row>
    <row r="127" spans="1:19" hidden="1" x14ac:dyDescent="0.3">
      <c r="A127" t="s">
        <v>366</v>
      </c>
      <c r="B127" t="s">
        <v>367</v>
      </c>
      <c r="C127" t="s">
        <v>5</v>
      </c>
      <c r="D127">
        <v>12787</v>
      </c>
      <c r="E127" t="s">
        <v>389</v>
      </c>
      <c r="F127" t="s">
        <v>230</v>
      </c>
      <c r="G127" t="s">
        <v>390</v>
      </c>
      <c r="H127" t="s">
        <v>391</v>
      </c>
      <c r="I127" t="s">
        <v>31</v>
      </c>
      <c r="J127">
        <v>858</v>
      </c>
      <c r="K127" t="s">
        <v>392</v>
      </c>
      <c r="L127">
        <v>10</v>
      </c>
      <c r="M127">
        <v>4.9259000000000004</v>
      </c>
      <c r="P127" t="s">
        <v>33</v>
      </c>
      <c r="Q127">
        <v>2</v>
      </c>
      <c r="R127" t="s">
        <v>1272</v>
      </c>
      <c r="S127" t="s">
        <v>1280</v>
      </c>
    </row>
    <row r="128" spans="1:19" hidden="1" x14ac:dyDescent="0.3">
      <c r="A128" t="s">
        <v>393</v>
      </c>
      <c r="B128" t="s">
        <v>394</v>
      </c>
      <c r="C128" t="s">
        <v>5</v>
      </c>
      <c r="D128">
        <v>20259</v>
      </c>
      <c r="E128" t="s">
        <v>49</v>
      </c>
      <c r="F128" t="s">
        <v>50</v>
      </c>
      <c r="G128" t="s">
        <v>51</v>
      </c>
      <c r="H128" t="s">
        <v>52</v>
      </c>
      <c r="I128" t="s">
        <v>25</v>
      </c>
      <c r="J128">
        <v>313</v>
      </c>
      <c r="K128" t="s">
        <v>53</v>
      </c>
      <c r="L128">
        <v>8</v>
      </c>
      <c r="M128">
        <v>5.3643000000000001</v>
      </c>
      <c r="N128">
        <v>1</v>
      </c>
      <c r="O128">
        <v>0.42399999999999999</v>
      </c>
      <c r="P128" t="s">
        <v>27</v>
      </c>
      <c r="Q128">
        <v>2</v>
      </c>
      <c r="R128" t="s">
        <v>1272</v>
      </c>
      <c r="S128" t="s">
        <v>1280</v>
      </c>
    </row>
    <row r="129" spans="1:19" hidden="1" x14ac:dyDescent="0.3">
      <c r="A129" t="s">
        <v>393</v>
      </c>
      <c r="B129" t="s">
        <v>394</v>
      </c>
      <c r="C129" t="s">
        <v>5</v>
      </c>
      <c r="D129">
        <v>20677</v>
      </c>
      <c r="E129" t="s">
        <v>395</v>
      </c>
      <c r="F129" t="s">
        <v>396</v>
      </c>
      <c r="G129" t="s">
        <v>41</v>
      </c>
      <c r="H129" t="s">
        <v>397</v>
      </c>
      <c r="I129" t="s">
        <v>25</v>
      </c>
      <c r="J129">
        <v>1440</v>
      </c>
      <c r="K129" t="s">
        <v>398</v>
      </c>
      <c r="L129">
        <v>1</v>
      </c>
      <c r="M129">
        <v>8.2232000000000003</v>
      </c>
      <c r="P129" t="s">
        <v>33</v>
      </c>
      <c r="Q129">
        <v>2</v>
      </c>
      <c r="R129" t="s">
        <v>1272</v>
      </c>
      <c r="S129" t="s">
        <v>1280</v>
      </c>
    </row>
    <row r="130" spans="1:19" hidden="1" x14ac:dyDescent="0.3">
      <c r="A130" t="s">
        <v>393</v>
      </c>
      <c r="B130" t="s">
        <v>394</v>
      </c>
      <c r="C130" t="s">
        <v>5</v>
      </c>
      <c r="D130">
        <v>20353</v>
      </c>
      <c r="E130" t="s">
        <v>164</v>
      </c>
      <c r="F130" t="s">
        <v>165</v>
      </c>
      <c r="G130" t="s">
        <v>41</v>
      </c>
      <c r="H130" t="s">
        <v>166</v>
      </c>
      <c r="I130" t="s">
        <v>31</v>
      </c>
      <c r="J130">
        <v>899</v>
      </c>
      <c r="K130" t="s">
        <v>167</v>
      </c>
      <c r="L130">
        <v>2</v>
      </c>
      <c r="M130">
        <v>7.6914999999999996</v>
      </c>
      <c r="N130">
        <v>2</v>
      </c>
      <c r="O130">
        <v>0.3896</v>
      </c>
      <c r="P130" t="s">
        <v>27</v>
      </c>
      <c r="Q130">
        <v>2</v>
      </c>
      <c r="R130" t="s">
        <v>1272</v>
      </c>
      <c r="S130" t="s">
        <v>1280</v>
      </c>
    </row>
    <row r="131" spans="1:19" hidden="1" x14ac:dyDescent="0.3">
      <c r="A131" t="s">
        <v>393</v>
      </c>
      <c r="B131" t="s">
        <v>394</v>
      </c>
      <c r="C131" t="s">
        <v>5</v>
      </c>
      <c r="D131">
        <v>18885</v>
      </c>
      <c r="E131" t="s">
        <v>86</v>
      </c>
      <c r="F131" t="s">
        <v>60</v>
      </c>
      <c r="G131" t="s">
        <v>87</v>
      </c>
      <c r="H131" t="s">
        <v>88</v>
      </c>
      <c r="I131" t="s">
        <v>31</v>
      </c>
      <c r="J131">
        <v>596</v>
      </c>
      <c r="K131" t="s">
        <v>89</v>
      </c>
      <c r="N131">
        <v>3</v>
      </c>
      <c r="O131">
        <v>0.38040000000000002</v>
      </c>
      <c r="P131" t="s">
        <v>38</v>
      </c>
      <c r="Q131">
        <v>0</v>
      </c>
      <c r="R131" t="s">
        <v>1272</v>
      </c>
      <c r="S131" t="s">
        <v>1295</v>
      </c>
    </row>
    <row r="132" spans="1:19" hidden="1" x14ac:dyDescent="0.3">
      <c r="A132" t="s">
        <v>393</v>
      </c>
      <c r="B132" t="s">
        <v>394</v>
      </c>
      <c r="C132" t="s">
        <v>5</v>
      </c>
      <c r="D132">
        <v>20632</v>
      </c>
      <c r="E132" t="s">
        <v>204</v>
      </c>
      <c r="F132" t="s">
        <v>205</v>
      </c>
      <c r="G132" t="s">
        <v>206</v>
      </c>
      <c r="H132" t="s">
        <v>207</v>
      </c>
      <c r="I132" t="s">
        <v>31</v>
      </c>
      <c r="J132">
        <v>411</v>
      </c>
      <c r="K132" t="s">
        <v>208</v>
      </c>
      <c r="L132">
        <v>3</v>
      </c>
      <c r="M132">
        <v>7.1319999999999997</v>
      </c>
      <c r="N132">
        <v>9</v>
      </c>
      <c r="O132">
        <v>0.36080000000000001</v>
      </c>
      <c r="P132" t="s">
        <v>27</v>
      </c>
      <c r="Q132">
        <v>2</v>
      </c>
      <c r="R132" t="s">
        <v>1272</v>
      </c>
      <c r="S132" t="s">
        <v>1280</v>
      </c>
    </row>
    <row r="133" spans="1:19" hidden="1" x14ac:dyDescent="0.3">
      <c r="A133" t="s">
        <v>393</v>
      </c>
      <c r="B133" t="s">
        <v>394</v>
      </c>
      <c r="C133" t="s">
        <v>5</v>
      </c>
      <c r="D133">
        <v>9821</v>
      </c>
      <c r="E133" t="s">
        <v>21</v>
      </c>
      <c r="F133" t="s">
        <v>22</v>
      </c>
      <c r="G133" t="s">
        <v>23</v>
      </c>
      <c r="H133" t="s">
        <v>24</v>
      </c>
      <c r="I133" t="s">
        <v>25</v>
      </c>
      <c r="J133">
        <v>998</v>
      </c>
      <c r="K133" t="s">
        <v>26</v>
      </c>
      <c r="N133">
        <v>4</v>
      </c>
      <c r="O133">
        <v>0.37769999999999998</v>
      </c>
      <c r="P133" t="s">
        <v>38</v>
      </c>
      <c r="Q133">
        <v>1</v>
      </c>
      <c r="R133" t="s">
        <v>1272</v>
      </c>
      <c r="S133" t="s">
        <v>1296</v>
      </c>
    </row>
    <row r="134" spans="1:19" hidden="1" x14ac:dyDescent="0.3">
      <c r="A134" t="s">
        <v>393</v>
      </c>
      <c r="B134" t="s">
        <v>394</v>
      </c>
      <c r="C134" t="s">
        <v>5</v>
      </c>
      <c r="D134">
        <v>20782</v>
      </c>
      <c r="E134" t="s">
        <v>399</v>
      </c>
      <c r="F134" t="s">
        <v>400</v>
      </c>
      <c r="G134" t="s">
        <v>41</v>
      </c>
      <c r="H134" t="s">
        <v>401</v>
      </c>
      <c r="I134" t="s">
        <v>25</v>
      </c>
      <c r="J134">
        <v>601</v>
      </c>
      <c r="K134" t="s">
        <v>402</v>
      </c>
      <c r="L134">
        <v>4</v>
      </c>
      <c r="M134">
        <v>7.1025999999999998</v>
      </c>
      <c r="P134" t="s">
        <v>33</v>
      </c>
      <c r="Q134">
        <v>2</v>
      </c>
      <c r="R134" t="s">
        <v>1272</v>
      </c>
      <c r="S134" t="s">
        <v>1280</v>
      </c>
    </row>
    <row r="135" spans="1:19" hidden="1" x14ac:dyDescent="0.3">
      <c r="A135" t="s">
        <v>393</v>
      </c>
      <c r="B135" t="s">
        <v>394</v>
      </c>
      <c r="C135" t="s">
        <v>5</v>
      </c>
      <c r="D135">
        <v>18836</v>
      </c>
      <c r="E135" t="s">
        <v>403</v>
      </c>
      <c r="F135" t="s">
        <v>404</v>
      </c>
      <c r="G135" t="s">
        <v>405</v>
      </c>
      <c r="H135" t="s">
        <v>406</v>
      </c>
      <c r="I135" t="s">
        <v>25</v>
      </c>
      <c r="J135">
        <v>1168</v>
      </c>
      <c r="K135" t="s">
        <v>407</v>
      </c>
      <c r="L135">
        <v>5</v>
      </c>
      <c r="M135">
        <v>6.2267000000000001</v>
      </c>
      <c r="P135" t="s">
        <v>33</v>
      </c>
      <c r="Q135">
        <v>2</v>
      </c>
      <c r="R135" t="s">
        <v>1272</v>
      </c>
      <c r="S135" t="s">
        <v>1280</v>
      </c>
    </row>
    <row r="136" spans="1:19" hidden="1" x14ac:dyDescent="0.3">
      <c r="A136" t="s">
        <v>393</v>
      </c>
      <c r="B136" t="s">
        <v>394</v>
      </c>
      <c r="C136" t="s">
        <v>5</v>
      </c>
      <c r="D136">
        <v>20595</v>
      </c>
      <c r="E136" t="s">
        <v>190</v>
      </c>
      <c r="F136" t="s">
        <v>191</v>
      </c>
      <c r="G136" t="s">
        <v>192</v>
      </c>
      <c r="H136" t="s">
        <v>193</v>
      </c>
      <c r="I136" t="s">
        <v>25</v>
      </c>
      <c r="J136">
        <v>2941</v>
      </c>
      <c r="K136" t="s">
        <v>194</v>
      </c>
      <c r="L136">
        <v>9</v>
      </c>
      <c r="M136">
        <v>5.3384</v>
      </c>
      <c r="N136">
        <v>5</v>
      </c>
      <c r="O136">
        <v>0.37409999999999999</v>
      </c>
      <c r="P136" t="s">
        <v>27</v>
      </c>
      <c r="Q136">
        <v>2</v>
      </c>
      <c r="R136" t="s">
        <v>1272</v>
      </c>
      <c r="S136" t="s">
        <v>1280</v>
      </c>
    </row>
    <row r="137" spans="1:19" hidden="1" x14ac:dyDescent="0.3">
      <c r="A137" t="s">
        <v>393</v>
      </c>
      <c r="B137" t="s">
        <v>394</v>
      </c>
      <c r="C137" t="s">
        <v>5</v>
      </c>
      <c r="D137">
        <v>16838</v>
      </c>
      <c r="E137" t="s">
        <v>129</v>
      </c>
      <c r="F137" t="s">
        <v>60</v>
      </c>
      <c r="G137" t="s">
        <v>130</v>
      </c>
      <c r="H137" t="s">
        <v>131</v>
      </c>
      <c r="I137" t="s">
        <v>31</v>
      </c>
      <c r="J137">
        <v>3435</v>
      </c>
      <c r="K137" t="s">
        <v>132</v>
      </c>
      <c r="L137">
        <v>6</v>
      </c>
      <c r="M137">
        <v>5.5137</v>
      </c>
      <c r="P137" t="s">
        <v>33</v>
      </c>
      <c r="Q137">
        <v>1</v>
      </c>
      <c r="R137" t="s">
        <v>1272</v>
      </c>
      <c r="S137" t="s">
        <v>1297</v>
      </c>
    </row>
    <row r="138" spans="1:19" hidden="1" x14ac:dyDescent="0.3">
      <c r="A138" t="s">
        <v>393</v>
      </c>
      <c r="B138" t="s">
        <v>394</v>
      </c>
      <c r="C138" t="s">
        <v>5</v>
      </c>
      <c r="D138">
        <v>17519</v>
      </c>
      <c r="E138" t="s">
        <v>34</v>
      </c>
      <c r="F138" t="s">
        <v>22</v>
      </c>
      <c r="G138" t="s">
        <v>35</v>
      </c>
      <c r="H138" t="s">
        <v>36</v>
      </c>
      <c r="I138" t="s">
        <v>25</v>
      </c>
      <c r="J138">
        <v>2690</v>
      </c>
      <c r="K138" t="s">
        <v>37</v>
      </c>
      <c r="N138">
        <v>6</v>
      </c>
      <c r="O138">
        <v>0.36699999999999999</v>
      </c>
      <c r="P138" t="s">
        <v>38</v>
      </c>
      <c r="Q138">
        <v>1</v>
      </c>
      <c r="R138" t="s">
        <v>1272</v>
      </c>
      <c r="S138" t="s">
        <v>1298</v>
      </c>
    </row>
    <row r="139" spans="1:19" hidden="1" x14ac:dyDescent="0.3">
      <c r="A139" t="s">
        <v>393</v>
      </c>
      <c r="B139" t="s">
        <v>394</v>
      </c>
      <c r="C139" t="s">
        <v>5</v>
      </c>
      <c r="D139">
        <v>19992</v>
      </c>
      <c r="E139" t="s">
        <v>408</v>
      </c>
      <c r="F139" t="s">
        <v>22</v>
      </c>
      <c r="G139" t="s">
        <v>409</v>
      </c>
      <c r="H139" t="s">
        <v>410</v>
      </c>
      <c r="I139" t="s">
        <v>31</v>
      </c>
      <c r="J139">
        <v>553</v>
      </c>
      <c r="K139" t="s">
        <v>411</v>
      </c>
      <c r="N139">
        <v>7</v>
      </c>
      <c r="O139">
        <v>0.36470000000000002</v>
      </c>
      <c r="P139" t="s">
        <v>38</v>
      </c>
      <c r="Q139">
        <v>1</v>
      </c>
      <c r="R139" t="s">
        <v>1272</v>
      </c>
      <c r="S139" t="s">
        <v>1298</v>
      </c>
    </row>
    <row r="140" spans="1:19" hidden="1" x14ac:dyDescent="0.3">
      <c r="A140" t="s">
        <v>393</v>
      </c>
      <c r="B140" t="s">
        <v>394</v>
      </c>
      <c r="C140" t="s">
        <v>5</v>
      </c>
      <c r="D140">
        <v>20359</v>
      </c>
      <c r="E140" t="s">
        <v>376</v>
      </c>
      <c r="F140" t="s">
        <v>377</v>
      </c>
      <c r="G140" t="s">
        <v>378</v>
      </c>
      <c r="H140" t="s">
        <v>379</v>
      </c>
      <c r="I140" t="s">
        <v>25</v>
      </c>
      <c r="J140">
        <v>452</v>
      </c>
      <c r="K140" t="s">
        <v>380</v>
      </c>
      <c r="L140">
        <v>7</v>
      </c>
      <c r="M140">
        <v>5.3718000000000004</v>
      </c>
      <c r="P140" t="s">
        <v>33</v>
      </c>
      <c r="Q140">
        <v>2</v>
      </c>
      <c r="R140" t="s">
        <v>1272</v>
      </c>
      <c r="S140" t="s">
        <v>1280</v>
      </c>
    </row>
    <row r="141" spans="1:19" hidden="1" x14ac:dyDescent="0.3">
      <c r="A141" t="s">
        <v>393</v>
      </c>
      <c r="B141" t="s">
        <v>394</v>
      </c>
      <c r="C141" t="s">
        <v>5</v>
      </c>
      <c r="D141">
        <v>15013</v>
      </c>
      <c r="E141" t="s">
        <v>59</v>
      </c>
      <c r="F141" t="s">
        <v>60</v>
      </c>
      <c r="G141" t="s">
        <v>61</v>
      </c>
      <c r="H141" t="s">
        <v>62</v>
      </c>
      <c r="I141" t="s">
        <v>25</v>
      </c>
      <c r="J141">
        <v>550</v>
      </c>
      <c r="K141" t="s">
        <v>63</v>
      </c>
      <c r="N141">
        <v>8</v>
      </c>
      <c r="O141">
        <v>0.36430000000000001</v>
      </c>
      <c r="P141" t="s">
        <v>38</v>
      </c>
      <c r="Q141">
        <v>0</v>
      </c>
      <c r="R141" t="s">
        <v>1272</v>
      </c>
      <c r="S141" t="s">
        <v>1299</v>
      </c>
    </row>
    <row r="142" spans="1:19" hidden="1" x14ac:dyDescent="0.3">
      <c r="A142" t="s">
        <v>393</v>
      </c>
      <c r="B142" t="s">
        <v>394</v>
      </c>
      <c r="C142" t="s">
        <v>5</v>
      </c>
      <c r="D142">
        <v>19317</v>
      </c>
      <c r="E142" t="s">
        <v>44</v>
      </c>
      <c r="F142" t="s">
        <v>45</v>
      </c>
      <c r="G142" t="s">
        <v>46</v>
      </c>
      <c r="H142" t="s">
        <v>47</v>
      </c>
      <c r="I142" t="s">
        <v>31</v>
      </c>
      <c r="J142">
        <v>4168</v>
      </c>
      <c r="K142" t="s">
        <v>48</v>
      </c>
      <c r="N142">
        <v>10</v>
      </c>
      <c r="O142">
        <v>0.35949999999999999</v>
      </c>
      <c r="P142" t="s">
        <v>38</v>
      </c>
      <c r="Q142">
        <v>0</v>
      </c>
      <c r="R142" t="s">
        <v>1272</v>
      </c>
      <c r="S142" t="s">
        <v>1300</v>
      </c>
    </row>
    <row r="143" spans="1:19" hidden="1" x14ac:dyDescent="0.3">
      <c r="A143" t="s">
        <v>393</v>
      </c>
      <c r="B143" t="s">
        <v>394</v>
      </c>
      <c r="C143" t="s">
        <v>5</v>
      </c>
      <c r="D143">
        <v>20043</v>
      </c>
      <c r="E143" t="s">
        <v>412</v>
      </c>
      <c r="F143" t="s">
        <v>413</v>
      </c>
      <c r="G143" t="s">
        <v>414</v>
      </c>
      <c r="H143" t="s">
        <v>415</v>
      </c>
      <c r="I143" t="s">
        <v>25</v>
      </c>
      <c r="J143">
        <v>558</v>
      </c>
      <c r="K143" t="s">
        <v>416</v>
      </c>
      <c r="L143">
        <v>10</v>
      </c>
      <c r="M143">
        <v>4.9775999999999998</v>
      </c>
      <c r="P143" t="s">
        <v>33</v>
      </c>
      <c r="Q143">
        <v>2</v>
      </c>
      <c r="R143" t="s">
        <v>1272</v>
      </c>
      <c r="S143" t="s">
        <v>1280</v>
      </c>
    </row>
    <row r="144" spans="1:19" hidden="1" x14ac:dyDescent="0.3">
      <c r="A144" t="s">
        <v>417</v>
      </c>
      <c r="B144" t="s">
        <v>418</v>
      </c>
      <c r="C144" t="s">
        <v>5</v>
      </c>
      <c r="D144">
        <v>171</v>
      </c>
      <c r="E144" t="s">
        <v>102</v>
      </c>
      <c r="F144" t="s">
        <v>103</v>
      </c>
      <c r="G144" t="s">
        <v>104</v>
      </c>
      <c r="H144" t="s">
        <v>105</v>
      </c>
      <c r="I144" t="s">
        <v>31</v>
      </c>
      <c r="J144">
        <v>474</v>
      </c>
      <c r="K144" t="s">
        <v>106</v>
      </c>
      <c r="N144">
        <v>1</v>
      </c>
      <c r="O144">
        <v>0.39839999999999998</v>
      </c>
      <c r="P144" t="s">
        <v>38</v>
      </c>
      <c r="Q144">
        <v>0</v>
      </c>
      <c r="R144" t="s">
        <v>1272</v>
      </c>
      <c r="S144" t="s">
        <v>1301</v>
      </c>
    </row>
    <row r="145" spans="1:19" hidden="1" x14ac:dyDescent="0.3">
      <c r="A145" t="s">
        <v>417</v>
      </c>
      <c r="B145" t="s">
        <v>418</v>
      </c>
      <c r="C145" t="s">
        <v>5</v>
      </c>
      <c r="D145">
        <v>20293</v>
      </c>
      <c r="E145" t="s">
        <v>419</v>
      </c>
      <c r="F145" t="s">
        <v>420</v>
      </c>
      <c r="G145" t="s">
        <v>421</v>
      </c>
      <c r="H145" t="s">
        <v>422</v>
      </c>
      <c r="I145" t="s">
        <v>25</v>
      </c>
      <c r="J145">
        <v>2164</v>
      </c>
      <c r="K145" t="s">
        <v>423</v>
      </c>
      <c r="L145">
        <v>1</v>
      </c>
      <c r="M145">
        <v>5.2908999999999997</v>
      </c>
      <c r="N145">
        <v>6</v>
      </c>
      <c r="O145">
        <v>0.3881</v>
      </c>
      <c r="P145" t="s">
        <v>27</v>
      </c>
      <c r="Q145">
        <v>2</v>
      </c>
      <c r="R145" t="s">
        <v>1272</v>
      </c>
      <c r="S145" t="s">
        <v>1280</v>
      </c>
    </row>
    <row r="146" spans="1:19" hidden="1" x14ac:dyDescent="0.3">
      <c r="A146" t="s">
        <v>417</v>
      </c>
      <c r="B146" t="s">
        <v>418</v>
      </c>
      <c r="C146" t="s">
        <v>5</v>
      </c>
      <c r="D146">
        <v>9820</v>
      </c>
      <c r="E146" t="s">
        <v>150</v>
      </c>
      <c r="F146" t="s">
        <v>60</v>
      </c>
      <c r="G146" t="s">
        <v>151</v>
      </c>
      <c r="H146" t="s">
        <v>152</v>
      </c>
      <c r="I146" t="s">
        <v>25</v>
      </c>
      <c r="J146">
        <v>2512</v>
      </c>
      <c r="K146" t="s">
        <v>153</v>
      </c>
      <c r="N146">
        <v>2</v>
      </c>
      <c r="O146">
        <v>0.39500000000000002</v>
      </c>
      <c r="P146" t="s">
        <v>38</v>
      </c>
      <c r="Q146">
        <v>0</v>
      </c>
      <c r="R146" t="s">
        <v>1272</v>
      </c>
      <c r="S146" t="s">
        <v>1301</v>
      </c>
    </row>
    <row r="147" spans="1:19" hidden="1" x14ac:dyDescent="0.3">
      <c r="A147" t="s">
        <v>417</v>
      </c>
      <c r="B147" t="s">
        <v>418</v>
      </c>
      <c r="C147" t="s">
        <v>5</v>
      </c>
      <c r="D147">
        <v>10433</v>
      </c>
      <c r="E147" t="s">
        <v>424</v>
      </c>
      <c r="F147" t="s">
        <v>425</v>
      </c>
      <c r="G147" t="s">
        <v>426</v>
      </c>
      <c r="H147" t="s">
        <v>427</v>
      </c>
      <c r="I147" t="s">
        <v>25</v>
      </c>
      <c r="J147">
        <v>1153</v>
      </c>
      <c r="K147" t="s">
        <v>428</v>
      </c>
      <c r="L147">
        <v>2</v>
      </c>
      <c r="M147">
        <v>5.0410000000000004</v>
      </c>
      <c r="P147" t="s">
        <v>33</v>
      </c>
      <c r="Q147">
        <v>2</v>
      </c>
      <c r="R147" t="s">
        <v>1272</v>
      </c>
      <c r="S147" t="s">
        <v>1280</v>
      </c>
    </row>
    <row r="148" spans="1:19" hidden="1" x14ac:dyDescent="0.3">
      <c r="A148" t="s">
        <v>417</v>
      </c>
      <c r="B148" t="s">
        <v>418</v>
      </c>
      <c r="C148" t="s">
        <v>5</v>
      </c>
      <c r="D148">
        <v>268</v>
      </c>
      <c r="E148" t="s">
        <v>429</v>
      </c>
      <c r="F148" t="s">
        <v>425</v>
      </c>
      <c r="G148" t="s">
        <v>430</v>
      </c>
      <c r="H148" t="s">
        <v>431</v>
      </c>
      <c r="I148" t="s">
        <v>25</v>
      </c>
      <c r="J148">
        <v>519</v>
      </c>
      <c r="K148" t="s">
        <v>432</v>
      </c>
      <c r="L148">
        <v>3</v>
      </c>
      <c r="M148">
        <v>4.9554</v>
      </c>
      <c r="P148" t="s">
        <v>33</v>
      </c>
      <c r="Q148">
        <v>2</v>
      </c>
      <c r="R148" t="s">
        <v>1272</v>
      </c>
      <c r="S148" t="s">
        <v>1280</v>
      </c>
    </row>
    <row r="149" spans="1:19" hidden="1" x14ac:dyDescent="0.3">
      <c r="A149" t="s">
        <v>417</v>
      </c>
      <c r="B149" t="s">
        <v>418</v>
      </c>
      <c r="C149" t="s">
        <v>5</v>
      </c>
      <c r="D149">
        <v>13481</v>
      </c>
      <c r="E149" t="s">
        <v>270</v>
      </c>
      <c r="F149" t="s">
        <v>55</v>
      </c>
      <c r="G149" t="s">
        <v>271</v>
      </c>
      <c r="H149" t="s">
        <v>272</v>
      </c>
      <c r="I149" t="s">
        <v>31</v>
      </c>
      <c r="J149">
        <v>690</v>
      </c>
      <c r="K149" t="s">
        <v>273</v>
      </c>
      <c r="N149">
        <v>3</v>
      </c>
      <c r="O149">
        <v>0.39329999999999998</v>
      </c>
      <c r="P149" t="s">
        <v>38</v>
      </c>
      <c r="Q149">
        <v>0</v>
      </c>
      <c r="R149" t="s">
        <v>1272</v>
      </c>
      <c r="S149" t="s">
        <v>1301</v>
      </c>
    </row>
    <row r="150" spans="1:19" hidden="1" x14ac:dyDescent="0.3">
      <c r="A150" t="s">
        <v>417</v>
      </c>
      <c r="B150" t="s">
        <v>418</v>
      </c>
      <c r="C150" t="s">
        <v>5</v>
      </c>
      <c r="D150">
        <v>4382</v>
      </c>
      <c r="E150" t="s">
        <v>433</v>
      </c>
      <c r="F150" t="s">
        <v>425</v>
      </c>
      <c r="G150" t="s">
        <v>434</v>
      </c>
      <c r="H150" t="s">
        <v>435</v>
      </c>
      <c r="I150" t="s">
        <v>25</v>
      </c>
      <c r="J150">
        <v>1830</v>
      </c>
      <c r="K150" t="s">
        <v>436</v>
      </c>
      <c r="L150">
        <v>4</v>
      </c>
      <c r="M150">
        <v>4.8274999999999997</v>
      </c>
      <c r="P150" t="s">
        <v>33</v>
      </c>
      <c r="Q150">
        <v>2</v>
      </c>
      <c r="R150" t="s">
        <v>1272</v>
      </c>
      <c r="S150" t="s">
        <v>1280</v>
      </c>
    </row>
    <row r="151" spans="1:19" hidden="1" x14ac:dyDescent="0.3">
      <c r="A151" t="s">
        <v>417</v>
      </c>
      <c r="B151" t="s">
        <v>418</v>
      </c>
      <c r="C151" t="s">
        <v>5</v>
      </c>
      <c r="D151">
        <v>16792</v>
      </c>
      <c r="E151" t="s">
        <v>437</v>
      </c>
      <c r="F151" t="s">
        <v>60</v>
      </c>
      <c r="G151" t="s">
        <v>438</v>
      </c>
      <c r="H151" t="s">
        <v>439</v>
      </c>
      <c r="I151" t="s">
        <v>31</v>
      </c>
      <c r="J151">
        <v>1231</v>
      </c>
      <c r="K151" t="s">
        <v>440</v>
      </c>
      <c r="N151">
        <v>4</v>
      </c>
      <c r="O151">
        <v>0.39050000000000001</v>
      </c>
      <c r="P151" t="s">
        <v>38</v>
      </c>
      <c r="Q151">
        <v>0</v>
      </c>
      <c r="R151" t="s">
        <v>1272</v>
      </c>
      <c r="S151" t="s">
        <v>1301</v>
      </c>
    </row>
    <row r="152" spans="1:19" hidden="1" x14ac:dyDescent="0.3">
      <c r="A152" t="s">
        <v>417</v>
      </c>
      <c r="B152" t="s">
        <v>418</v>
      </c>
      <c r="C152" t="s">
        <v>5</v>
      </c>
      <c r="D152">
        <v>16838</v>
      </c>
      <c r="E152" t="s">
        <v>129</v>
      </c>
      <c r="F152" t="s">
        <v>60</v>
      </c>
      <c r="G152" t="s">
        <v>130</v>
      </c>
      <c r="H152" t="s">
        <v>131</v>
      </c>
      <c r="I152" t="s">
        <v>31</v>
      </c>
      <c r="J152">
        <v>3435</v>
      </c>
      <c r="K152" t="s">
        <v>132</v>
      </c>
      <c r="L152">
        <v>5</v>
      </c>
      <c r="M152">
        <v>4.5773999999999999</v>
      </c>
      <c r="P152" t="s">
        <v>33</v>
      </c>
      <c r="Q152">
        <v>0</v>
      </c>
      <c r="R152" t="s">
        <v>1272</v>
      </c>
      <c r="S152" t="s">
        <v>1301</v>
      </c>
    </row>
    <row r="153" spans="1:19" hidden="1" x14ac:dyDescent="0.3">
      <c r="A153" t="s">
        <v>417</v>
      </c>
      <c r="B153" t="s">
        <v>418</v>
      </c>
      <c r="C153" t="s">
        <v>5</v>
      </c>
      <c r="D153">
        <v>19317</v>
      </c>
      <c r="E153" t="s">
        <v>44</v>
      </c>
      <c r="F153" t="s">
        <v>45</v>
      </c>
      <c r="G153" t="s">
        <v>46</v>
      </c>
      <c r="H153" t="s">
        <v>47</v>
      </c>
      <c r="I153" t="s">
        <v>31</v>
      </c>
      <c r="J153">
        <v>4168</v>
      </c>
      <c r="K153" t="s">
        <v>48</v>
      </c>
      <c r="N153">
        <v>5</v>
      </c>
      <c r="O153">
        <v>0.3891</v>
      </c>
      <c r="P153" t="s">
        <v>38</v>
      </c>
      <c r="Q153">
        <v>0</v>
      </c>
      <c r="R153" t="s">
        <v>1272</v>
      </c>
      <c r="S153" t="s">
        <v>1301</v>
      </c>
    </row>
    <row r="154" spans="1:19" hidden="1" x14ac:dyDescent="0.3">
      <c r="A154" t="s">
        <v>417</v>
      </c>
      <c r="B154" t="s">
        <v>418</v>
      </c>
      <c r="C154" t="s">
        <v>5</v>
      </c>
      <c r="D154">
        <v>17762</v>
      </c>
      <c r="E154" t="s">
        <v>441</v>
      </c>
      <c r="F154" t="s">
        <v>425</v>
      </c>
      <c r="G154" t="s">
        <v>442</v>
      </c>
      <c r="H154" t="s">
        <v>443</v>
      </c>
      <c r="I154" t="s">
        <v>31</v>
      </c>
      <c r="J154">
        <v>1580</v>
      </c>
      <c r="K154" t="s">
        <v>444</v>
      </c>
      <c r="L154">
        <v>6</v>
      </c>
      <c r="M154">
        <v>4.5724</v>
      </c>
      <c r="P154" t="s">
        <v>33</v>
      </c>
      <c r="Q154">
        <v>2</v>
      </c>
      <c r="R154" t="s">
        <v>1272</v>
      </c>
      <c r="S154" t="s">
        <v>1280</v>
      </c>
    </row>
    <row r="155" spans="1:19" hidden="1" x14ac:dyDescent="0.3">
      <c r="A155" t="s">
        <v>417</v>
      </c>
      <c r="B155" t="s">
        <v>418</v>
      </c>
      <c r="C155" t="s">
        <v>5</v>
      </c>
      <c r="D155">
        <v>13886</v>
      </c>
      <c r="E155" t="s">
        <v>445</v>
      </c>
      <c r="F155" t="s">
        <v>425</v>
      </c>
      <c r="G155" t="s">
        <v>390</v>
      </c>
      <c r="H155" t="s">
        <v>446</v>
      </c>
      <c r="I155" t="s">
        <v>31</v>
      </c>
      <c r="J155">
        <v>428</v>
      </c>
      <c r="K155" t="s">
        <v>447</v>
      </c>
      <c r="L155">
        <v>7</v>
      </c>
      <c r="M155">
        <v>4.4168000000000003</v>
      </c>
      <c r="P155" t="s">
        <v>33</v>
      </c>
      <c r="Q155">
        <v>2</v>
      </c>
      <c r="R155" t="s">
        <v>1272</v>
      </c>
      <c r="S155" t="s">
        <v>1280</v>
      </c>
    </row>
    <row r="156" spans="1:19" hidden="1" x14ac:dyDescent="0.3">
      <c r="A156" t="s">
        <v>417</v>
      </c>
      <c r="B156" t="s">
        <v>418</v>
      </c>
      <c r="C156" t="s">
        <v>5</v>
      </c>
      <c r="D156">
        <v>18885</v>
      </c>
      <c r="E156" t="s">
        <v>86</v>
      </c>
      <c r="F156" t="s">
        <v>60</v>
      </c>
      <c r="G156" t="s">
        <v>87</v>
      </c>
      <c r="H156" t="s">
        <v>88</v>
      </c>
      <c r="I156" t="s">
        <v>31</v>
      </c>
      <c r="J156">
        <v>596</v>
      </c>
      <c r="K156" t="s">
        <v>89</v>
      </c>
      <c r="N156">
        <v>7</v>
      </c>
      <c r="O156">
        <v>0.38369999999999999</v>
      </c>
      <c r="P156" t="s">
        <v>38</v>
      </c>
      <c r="Q156">
        <v>0</v>
      </c>
      <c r="R156" t="s">
        <v>1272</v>
      </c>
      <c r="S156" t="s">
        <v>1301</v>
      </c>
    </row>
    <row r="157" spans="1:19" hidden="1" x14ac:dyDescent="0.3">
      <c r="A157" t="s">
        <v>417</v>
      </c>
      <c r="B157" t="s">
        <v>418</v>
      </c>
      <c r="C157" t="s">
        <v>5</v>
      </c>
      <c r="D157">
        <v>18703</v>
      </c>
      <c r="E157" t="s">
        <v>116</v>
      </c>
      <c r="F157" t="s">
        <v>117</v>
      </c>
      <c r="G157" t="s">
        <v>118</v>
      </c>
      <c r="H157" t="s">
        <v>119</v>
      </c>
      <c r="I157" t="s">
        <v>31</v>
      </c>
      <c r="J157">
        <v>303</v>
      </c>
      <c r="K157" t="s">
        <v>120</v>
      </c>
      <c r="N157">
        <v>8</v>
      </c>
      <c r="O157">
        <v>0.38250000000000001</v>
      </c>
      <c r="P157" t="s">
        <v>38</v>
      </c>
      <c r="Q157">
        <v>1</v>
      </c>
      <c r="R157" t="s">
        <v>1272</v>
      </c>
      <c r="S157" t="s">
        <v>1302</v>
      </c>
    </row>
    <row r="158" spans="1:19" hidden="1" x14ac:dyDescent="0.3">
      <c r="A158" t="s">
        <v>417</v>
      </c>
      <c r="B158" t="s">
        <v>418</v>
      </c>
      <c r="C158" t="s">
        <v>5</v>
      </c>
      <c r="D158">
        <v>20735</v>
      </c>
      <c r="E158" t="s">
        <v>448</v>
      </c>
      <c r="F158" t="s">
        <v>449</v>
      </c>
      <c r="G158" t="s">
        <v>41</v>
      </c>
      <c r="H158" t="s">
        <v>450</v>
      </c>
      <c r="I158" t="s">
        <v>25</v>
      </c>
      <c r="J158">
        <v>750</v>
      </c>
      <c r="K158" t="s">
        <v>451</v>
      </c>
      <c r="L158">
        <v>8</v>
      </c>
      <c r="M158">
        <v>4.3632999999999997</v>
      </c>
      <c r="P158" t="s">
        <v>33</v>
      </c>
      <c r="Q158">
        <v>2</v>
      </c>
      <c r="R158" t="s">
        <v>1272</v>
      </c>
      <c r="S158" t="s">
        <v>1280</v>
      </c>
    </row>
    <row r="159" spans="1:19" hidden="1" x14ac:dyDescent="0.3">
      <c r="A159" t="s">
        <v>417</v>
      </c>
      <c r="B159" t="s">
        <v>418</v>
      </c>
      <c r="C159" t="s">
        <v>5</v>
      </c>
      <c r="D159">
        <v>15093</v>
      </c>
      <c r="E159" t="s">
        <v>452</v>
      </c>
      <c r="F159" t="s">
        <v>60</v>
      </c>
      <c r="G159" t="s">
        <v>453</v>
      </c>
      <c r="H159" t="s">
        <v>454</v>
      </c>
      <c r="I159" t="s">
        <v>31</v>
      </c>
      <c r="J159">
        <v>892</v>
      </c>
      <c r="K159" t="s">
        <v>455</v>
      </c>
      <c r="N159">
        <v>9</v>
      </c>
      <c r="O159">
        <v>0.38229999999999997</v>
      </c>
      <c r="P159" t="s">
        <v>38</v>
      </c>
      <c r="Q159">
        <v>1</v>
      </c>
      <c r="R159" t="s">
        <v>1272</v>
      </c>
      <c r="S159" t="s">
        <v>1303</v>
      </c>
    </row>
    <row r="160" spans="1:19" hidden="1" x14ac:dyDescent="0.3">
      <c r="A160" t="s">
        <v>417</v>
      </c>
      <c r="B160" t="s">
        <v>418</v>
      </c>
      <c r="C160" t="s">
        <v>5</v>
      </c>
      <c r="D160">
        <v>19775</v>
      </c>
      <c r="E160" t="s">
        <v>456</v>
      </c>
      <c r="F160" t="s">
        <v>457</v>
      </c>
      <c r="G160" t="s">
        <v>458</v>
      </c>
      <c r="H160" t="s">
        <v>459</v>
      </c>
      <c r="I160" t="s">
        <v>25</v>
      </c>
      <c r="J160">
        <v>325</v>
      </c>
      <c r="K160" t="s">
        <v>460</v>
      </c>
      <c r="L160">
        <v>9</v>
      </c>
      <c r="M160">
        <v>4.3170999999999999</v>
      </c>
      <c r="P160" t="s">
        <v>33</v>
      </c>
      <c r="Q160">
        <v>2</v>
      </c>
      <c r="R160" t="s">
        <v>1272</v>
      </c>
      <c r="S160" t="s">
        <v>1280</v>
      </c>
    </row>
    <row r="161" spans="1:19" hidden="1" x14ac:dyDescent="0.3">
      <c r="A161" t="s">
        <v>417</v>
      </c>
      <c r="B161" t="s">
        <v>418</v>
      </c>
      <c r="C161" t="s">
        <v>5</v>
      </c>
      <c r="D161">
        <v>11918</v>
      </c>
      <c r="E161" t="s">
        <v>133</v>
      </c>
      <c r="F161" t="s">
        <v>60</v>
      </c>
      <c r="G161" t="s">
        <v>134</v>
      </c>
      <c r="H161" t="s">
        <v>135</v>
      </c>
      <c r="I161" t="s">
        <v>25</v>
      </c>
      <c r="J161">
        <v>3604</v>
      </c>
      <c r="K161" t="s">
        <v>136</v>
      </c>
      <c r="N161">
        <v>10</v>
      </c>
      <c r="O161">
        <v>0.37709999999999999</v>
      </c>
      <c r="P161" t="s">
        <v>38</v>
      </c>
      <c r="Q161">
        <v>0</v>
      </c>
      <c r="R161" t="s">
        <v>1272</v>
      </c>
      <c r="S161" t="s">
        <v>1304</v>
      </c>
    </row>
    <row r="162" spans="1:19" hidden="1" x14ac:dyDescent="0.3">
      <c r="A162" t="s">
        <v>417</v>
      </c>
      <c r="B162" t="s">
        <v>418</v>
      </c>
      <c r="C162" t="s">
        <v>5</v>
      </c>
      <c r="D162">
        <v>20359</v>
      </c>
      <c r="E162" t="s">
        <v>376</v>
      </c>
      <c r="F162" t="s">
        <v>377</v>
      </c>
      <c r="G162" t="s">
        <v>378</v>
      </c>
      <c r="H162" t="s">
        <v>379</v>
      </c>
      <c r="I162" t="s">
        <v>25</v>
      </c>
      <c r="J162">
        <v>452</v>
      </c>
      <c r="K162" t="s">
        <v>380</v>
      </c>
      <c r="L162">
        <v>10</v>
      </c>
      <c r="M162">
        <v>4.1856</v>
      </c>
      <c r="P162" t="s">
        <v>33</v>
      </c>
      <c r="Q162">
        <v>0</v>
      </c>
      <c r="R162" t="s">
        <v>1272</v>
      </c>
      <c r="S162" t="s">
        <v>1295</v>
      </c>
    </row>
    <row r="163" spans="1:19" hidden="1" x14ac:dyDescent="0.3">
      <c r="A163" t="s">
        <v>461</v>
      </c>
      <c r="B163" t="s">
        <v>462</v>
      </c>
      <c r="C163" t="s">
        <v>5</v>
      </c>
      <c r="D163">
        <v>17785</v>
      </c>
      <c r="E163" t="s">
        <v>159</v>
      </c>
      <c r="F163" t="s">
        <v>160</v>
      </c>
      <c r="G163" t="s">
        <v>161</v>
      </c>
      <c r="H163" t="s">
        <v>162</v>
      </c>
      <c r="I163" t="s">
        <v>25</v>
      </c>
      <c r="J163">
        <v>935</v>
      </c>
      <c r="K163" t="s">
        <v>163</v>
      </c>
      <c r="L163">
        <v>1</v>
      </c>
      <c r="M163">
        <v>14.4976</v>
      </c>
      <c r="N163">
        <v>1</v>
      </c>
      <c r="O163">
        <v>0.4819</v>
      </c>
      <c r="P163" t="s">
        <v>27</v>
      </c>
      <c r="Q163">
        <v>2</v>
      </c>
      <c r="R163" t="s">
        <v>1272</v>
      </c>
      <c r="S163" t="s">
        <v>1280</v>
      </c>
    </row>
    <row r="164" spans="1:19" hidden="1" x14ac:dyDescent="0.3">
      <c r="A164" t="s">
        <v>461</v>
      </c>
      <c r="B164" t="s">
        <v>462</v>
      </c>
      <c r="C164" t="s">
        <v>5</v>
      </c>
      <c r="D164">
        <v>11464</v>
      </c>
      <c r="E164" t="s">
        <v>463</v>
      </c>
      <c r="F164" t="s">
        <v>60</v>
      </c>
      <c r="G164" t="s">
        <v>464</v>
      </c>
      <c r="H164" t="s">
        <v>465</v>
      </c>
      <c r="I164" t="s">
        <v>31</v>
      </c>
      <c r="J164">
        <v>695</v>
      </c>
      <c r="K164" t="s">
        <v>466</v>
      </c>
      <c r="N164">
        <v>2</v>
      </c>
      <c r="O164">
        <v>0.4456</v>
      </c>
      <c r="P164" t="s">
        <v>38</v>
      </c>
      <c r="Q164">
        <v>1</v>
      </c>
      <c r="R164" t="s">
        <v>1272</v>
      </c>
      <c r="S164" t="s">
        <v>1298</v>
      </c>
    </row>
    <row r="165" spans="1:19" hidden="1" x14ac:dyDescent="0.3">
      <c r="A165" t="s">
        <v>461</v>
      </c>
      <c r="B165" t="s">
        <v>462</v>
      </c>
      <c r="C165" t="s">
        <v>5</v>
      </c>
      <c r="D165">
        <v>15735</v>
      </c>
      <c r="E165" t="s">
        <v>467</v>
      </c>
      <c r="F165" t="s">
        <v>160</v>
      </c>
      <c r="G165" t="s">
        <v>468</v>
      </c>
      <c r="H165" t="s">
        <v>469</v>
      </c>
      <c r="I165" t="s">
        <v>25</v>
      </c>
      <c r="J165">
        <v>1775</v>
      </c>
      <c r="K165" t="s">
        <v>470</v>
      </c>
      <c r="L165">
        <v>2</v>
      </c>
      <c r="M165">
        <v>10.042400000000001</v>
      </c>
      <c r="P165" t="s">
        <v>33</v>
      </c>
      <c r="Q165">
        <v>2</v>
      </c>
      <c r="R165" t="s">
        <v>1272</v>
      </c>
      <c r="S165" t="s">
        <v>1280</v>
      </c>
    </row>
    <row r="166" spans="1:19" hidden="1" x14ac:dyDescent="0.3">
      <c r="A166" t="s">
        <v>461</v>
      </c>
      <c r="B166" t="s">
        <v>462</v>
      </c>
      <c r="C166" t="s">
        <v>5</v>
      </c>
      <c r="D166">
        <v>10806</v>
      </c>
      <c r="E166" t="s">
        <v>471</v>
      </c>
      <c r="F166" t="s">
        <v>160</v>
      </c>
      <c r="G166" t="s">
        <v>472</v>
      </c>
      <c r="H166" t="s">
        <v>473</v>
      </c>
      <c r="I166" t="s">
        <v>25</v>
      </c>
      <c r="J166">
        <v>651</v>
      </c>
      <c r="K166" t="s">
        <v>474</v>
      </c>
      <c r="L166">
        <v>3</v>
      </c>
      <c r="M166">
        <v>10.034700000000001</v>
      </c>
      <c r="P166" t="s">
        <v>33</v>
      </c>
      <c r="Q166">
        <v>2</v>
      </c>
      <c r="R166" t="s">
        <v>1272</v>
      </c>
      <c r="S166" t="s">
        <v>1280</v>
      </c>
    </row>
    <row r="167" spans="1:19" hidden="1" x14ac:dyDescent="0.3">
      <c r="A167" t="s">
        <v>461</v>
      </c>
      <c r="B167" t="s">
        <v>462</v>
      </c>
      <c r="C167" t="s">
        <v>5</v>
      </c>
      <c r="D167">
        <v>19317</v>
      </c>
      <c r="E167" t="s">
        <v>44</v>
      </c>
      <c r="F167" t="s">
        <v>45</v>
      </c>
      <c r="G167" t="s">
        <v>46</v>
      </c>
      <c r="H167" t="s">
        <v>47</v>
      </c>
      <c r="I167" t="s">
        <v>31</v>
      </c>
      <c r="J167">
        <v>4168</v>
      </c>
      <c r="K167" t="s">
        <v>48</v>
      </c>
      <c r="N167">
        <v>3</v>
      </c>
      <c r="O167">
        <v>0.44419999999999998</v>
      </c>
      <c r="P167" t="s">
        <v>38</v>
      </c>
      <c r="Q167">
        <v>1</v>
      </c>
      <c r="R167" t="s">
        <v>1272</v>
      </c>
      <c r="S167" t="s">
        <v>1305</v>
      </c>
    </row>
    <row r="168" spans="1:19" hidden="1" x14ac:dyDescent="0.3">
      <c r="A168" t="s">
        <v>461</v>
      </c>
      <c r="B168" t="s">
        <v>462</v>
      </c>
      <c r="C168" t="s">
        <v>5</v>
      </c>
      <c r="D168">
        <v>12671</v>
      </c>
      <c r="E168" t="s">
        <v>475</v>
      </c>
      <c r="F168" t="s">
        <v>160</v>
      </c>
      <c r="G168" t="s">
        <v>476</v>
      </c>
      <c r="H168" t="s">
        <v>477</v>
      </c>
      <c r="I168" t="s">
        <v>31</v>
      </c>
      <c r="J168">
        <v>670</v>
      </c>
      <c r="K168" t="s">
        <v>478</v>
      </c>
      <c r="L168">
        <v>4</v>
      </c>
      <c r="M168">
        <v>9.3645999999999994</v>
      </c>
      <c r="P168" t="s">
        <v>33</v>
      </c>
      <c r="Q168">
        <v>2</v>
      </c>
      <c r="R168" t="s">
        <v>1272</v>
      </c>
      <c r="S168" t="s">
        <v>1280</v>
      </c>
    </row>
    <row r="169" spans="1:19" hidden="1" x14ac:dyDescent="0.3">
      <c r="A169" t="s">
        <v>461</v>
      </c>
      <c r="B169" t="s">
        <v>462</v>
      </c>
      <c r="C169" t="s">
        <v>5</v>
      </c>
      <c r="D169">
        <v>20773</v>
      </c>
      <c r="E169" t="s">
        <v>109</v>
      </c>
      <c r="F169" t="s">
        <v>60</v>
      </c>
      <c r="G169" t="s">
        <v>41</v>
      </c>
      <c r="H169" t="s">
        <v>110</v>
      </c>
      <c r="I169" t="s">
        <v>25</v>
      </c>
      <c r="J169">
        <v>1156</v>
      </c>
      <c r="K169" t="s">
        <v>111</v>
      </c>
      <c r="N169">
        <v>4</v>
      </c>
      <c r="O169">
        <v>0.44080000000000003</v>
      </c>
      <c r="P169" t="s">
        <v>38</v>
      </c>
      <c r="Q169">
        <v>1</v>
      </c>
      <c r="R169" t="s">
        <v>1272</v>
      </c>
      <c r="S169" t="s">
        <v>1298</v>
      </c>
    </row>
    <row r="170" spans="1:19" hidden="1" x14ac:dyDescent="0.3">
      <c r="A170" t="s">
        <v>461</v>
      </c>
      <c r="B170" t="s">
        <v>462</v>
      </c>
      <c r="C170" t="s">
        <v>5</v>
      </c>
      <c r="D170">
        <v>5049</v>
      </c>
      <c r="E170" t="s">
        <v>354</v>
      </c>
      <c r="F170" t="s">
        <v>288</v>
      </c>
      <c r="G170" t="s">
        <v>355</v>
      </c>
      <c r="H170" t="s">
        <v>356</v>
      </c>
      <c r="I170" t="s">
        <v>25</v>
      </c>
      <c r="J170">
        <v>306</v>
      </c>
      <c r="K170" t="s">
        <v>357</v>
      </c>
      <c r="N170">
        <v>5</v>
      </c>
      <c r="O170">
        <v>0.43059999999999998</v>
      </c>
      <c r="P170" t="s">
        <v>38</v>
      </c>
      <c r="Q170">
        <v>1</v>
      </c>
      <c r="R170" t="s">
        <v>1272</v>
      </c>
      <c r="S170" t="s">
        <v>1298</v>
      </c>
    </row>
    <row r="171" spans="1:19" hidden="1" x14ac:dyDescent="0.3">
      <c r="A171" t="s">
        <v>461</v>
      </c>
      <c r="B171" t="s">
        <v>462</v>
      </c>
      <c r="C171" t="s">
        <v>5</v>
      </c>
      <c r="D171">
        <v>18031</v>
      </c>
      <c r="E171" t="s">
        <v>479</v>
      </c>
      <c r="F171" t="s">
        <v>160</v>
      </c>
      <c r="G171" t="s">
        <v>480</v>
      </c>
      <c r="H171" t="s">
        <v>481</v>
      </c>
      <c r="I171" t="s">
        <v>31</v>
      </c>
      <c r="J171">
        <v>492</v>
      </c>
      <c r="K171" t="s">
        <v>482</v>
      </c>
      <c r="L171">
        <v>5</v>
      </c>
      <c r="M171">
        <v>9.0652000000000008</v>
      </c>
      <c r="P171" t="s">
        <v>33</v>
      </c>
      <c r="Q171">
        <v>2</v>
      </c>
      <c r="R171" t="s">
        <v>1272</v>
      </c>
      <c r="S171" t="s">
        <v>1280</v>
      </c>
    </row>
    <row r="172" spans="1:19" hidden="1" x14ac:dyDescent="0.3">
      <c r="A172" t="s">
        <v>461</v>
      </c>
      <c r="B172" t="s">
        <v>462</v>
      </c>
      <c r="C172" t="s">
        <v>5</v>
      </c>
      <c r="D172">
        <v>13674</v>
      </c>
      <c r="E172" t="s">
        <v>78</v>
      </c>
      <c r="F172" t="s">
        <v>22</v>
      </c>
      <c r="G172" t="s">
        <v>79</v>
      </c>
      <c r="H172" t="s">
        <v>80</v>
      </c>
      <c r="I172" t="s">
        <v>31</v>
      </c>
      <c r="J172">
        <v>1127</v>
      </c>
      <c r="K172" t="s">
        <v>81</v>
      </c>
      <c r="N172">
        <v>6</v>
      </c>
      <c r="O172">
        <v>0.43020000000000003</v>
      </c>
      <c r="P172" t="s">
        <v>38</v>
      </c>
      <c r="Q172">
        <v>1</v>
      </c>
      <c r="R172" t="s">
        <v>1272</v>
      </c>
      <c r="S172" t="s">
        <v>1298</v>
      </c>
    </row>
    <row r="173" spans="1:19" hidden="1" x14ac:dyDescent="0.3">
      <c r="A173" t="s">
        <v>461</v>
      </c>
      <c r="B173" t="s">
        <v>462</v>
      </c>
      <c r="C173" t="s">
        <v>5</v>
      </c>
      <c r="D173">
        <v>16217</v>
      </c>
      <c r="E173" t="s">
        <v>483</v>
      </c>
      <c r="F173" t="s">
        <v>160</v>
      </c>
      <c r="G173" t="s">
        <v>484</v>
      </c>
      <c r="H173" t="s">
        <v>485</v>
      </c>
      <c r="I173" t="s">
        <v>31</v>
      </c>
      <c r="J173">
        <v>3130</v>
      </c>
      <c r="K173" t="s">
        <v>486</v>
      </c>
      <c r="L173">
        <v>6</v>
      </c>
      <c r="M173">
        <v>9.0615000000000006</v>
      </c>
      <c r="P173" t="s">
        <v>33</v>
      </c>
      <c r="Q173">
        <v>2</v>
      </c>
      <c r="R173" t="s">
        <v>1272</v>
      </c>
      <c r="S173" t="s">
        <v>1280</v>
      </c>
    </row>
    <row r="174" spans="1:19" hidden="1" x14ac:dyDescent="0.3">
      <c r="A174" t="s">
        <v>461</v>
      </c>
      <c r="B174" t="s">
        <v>462</v>
      </c>
      <c r="C174" t="s">
        <v>5</v>
      </c>
      <c r="D174">
        <v>19775</v>
      </c>
      <c r="E174" t="s">
        <v>456</v>
      </c>
      <c r="F174" t="s">
        <v>457</v>
      </c>
      <c r="G174" t="s">
        <v>458</v>
      </c>
      <c r="H174" t="s">
        <v>459</v>
      </c>
      <c r="I174" t="s">
        <v>25</v>
      </c>
      <c r="J174">
        <v>325</v>
      </c>
      <c r="K174" t="s">
        <v>460</v>
      </c>
      <c r="L174">
        <v>7</v>
      </c>
      <c r="M174">
        <v>8.5569000000000006</v>
      </c>
      <c r="P174" t="s">
        <v>33</v>
      </c>
      <c r="Q174">
        <v>2</v>
      </c>
      <c r="R174" t="s">
        <v>1272</v>
      </c>
      <c r="S174" t="s">
        <v>1280</v>
      </c>
    </row>
    <row r="175" spans="1:19" hidden="1" x14ac:dyDescent="0.3">
      <c r="A175" t="s">
        <v>461</v>
      </c>
      <c r="B175" t="s">
        <v>462</v>
      </c>
      <c r="C175" t="s">
        <v>5</v>
      </c>
      <c r="D175">
        <v>20775</v>
      </c>
      <c r="E175" t="s">
        <v>368</v>
      </c>
      <c r="F175" t="s">
        <v>369</v>
      </c>
      <c r="G175" t="s">
        <v>41</v>
      </c>
      <c r="H175" t="s">
        <v>370</v>
      </c>
      <c r="I175" t="s">
        <v>25</v>
      </c>
      <c r="J175">
        <v>912</v>
      </c>
      <c r="K175" t="s">
        <v>371</v>
      </c>
      <c r="N175">
        <v>7</v>
      </c>
      <c r="O175">
        <v>0.42980000000000002</v>
      </c>
      <c r="P175" t="s">
        <v>38</v>
      </c>
      <c r="Q175">
        <v>1</v>
      </c>
      <c r="R175" t="s">
        <v>1272</v>
      </c>
      <c r="S175" s="1" t="s">
        <v>1298</v>
      </c>
    </row>
    <row r="176" spans="1:19" hidden="1" x14ac:dyDescent="0.3">
      <c r="A176" t="s">
        <v>461</v>
      </c>
      <c r="B176" t="s">
        <v>462</v>
      </c>
      <c r="C176" t="s">
        <v>5</v>
      </c>
      <c r="D176">
        <v>16102</v>
      </c>
      <c r="E176" t="s">
        <v>186</v>
      </c>
      <c r="F176" t="s">
        <v>155</v>
      </c>
      <c r="G176" t="s">
        <v>187</v>
      </c>
      <c r="H176" t="s">
        <v>188</v>
      </c>
      <c r="I176" t="s">
        <v>25</v>
      </c>
      <c r="J176">
        <v>8766</v>
      </c>
      <c r="K176" t="s">
        <v>189</v>
      </c>
      <c r="L176">
        <v>8</v>
      </c>
      <c r="M176">
        <v>6.5289000000000001</v>
      </c>
      <c r="P176" t="s">
        <v>33</v>
      </c>
      <c r="Q176">
        <v>1</v>
      </c>
      <c r="R176" t="s">
        <v>1272</v>
      </c>
      <c r="S176" s="1" t="s">
        <v>1298</v>
      </c>
    </row>
    <row r="177" spans="1:19" hidden="1" x14ac:dyDescent="0.3">
      <c r="A177" t="s">
        <v>461</v>
      </c>
      <c r="B177" t="s">
        <v>462</v>
      </c>
      <c r="C177" t="s">
        <v>5</v>
      </c>
      <c r="D177">
        <v>20259</v>
      </c>
      <c r="E177" t="s">
        <v>49</v>
      </c>
      <c r="F177" t="s">
        <v>50</v>
      </c>
      <c r="G177" t="s">
        <v>51</v>
      </c>
      <c r="H177" t="s">
        <v>52</v>
      </c>
      <c r="I177" t="s">
        <v>25</v>
      </c>
      <c r="J177">
        <v>313</v>
      </c>
      <c r="K177" t="s">
        <v>53</v>
      </c>
      <c r="N177">
        <v>8</v>
      </c>
      <c r="O177">
        <v>0.4294</v>
      </c>
      <c r="P177" t="s">
        <v>38</v>
      </c>
      <c r="Q177">
        <v>0</v>
      </c>
      <c r="R177" t="s">
        <v>1272</v>
      </c>
      <c r="S177" t="s">
        <v>1300</v>
      </c>
    </row>
    <row r="178" spans="1:19" hidden="1" x14ac:dyDescent="0.3">
      <c r="A178" t="s">
        <v>461</v>
      </c>
      <c r="B178" t="s">
        <v>462</v>
      </c>
      <c r="C178" t="s">
        <v>5</v>
      </c>
      <c r="D178">
        <v>14198</v>
      </c>
      <c r="E178" t="s">
        <v>73</v>
      </c>
      <c r="F178" t="s">
        <v>74</v>
      </c>
      <c r="G178" t="s">
        <v>75</v>
      </c>
      <c r="H178" t="s">
        <v>76</v>
      </c>
      <c r="I178" t="s">
        <v>31</v>
      </c>
      <c r="J178">
        <v>377</v>
      </c>
      <c r="K178" t="s">
        <v>77</v>
      </c>
      <c r="L178">
        <v>9</v>
      </c>
      <c r="M178">
        <v>6.3612000000000002</v>
      </c>
      <c r="P178" t="s">
        <v>33</v>
      </c>
      <c r="Q178">
        <v>0</v>
      </c>
      <c r="R178" t="s">
        <v>1272</v>
      </c>
      <c r="S178" t="s">
        <v>1306</v>
      </c>
    </row>
    <row r="179" spans="1:19" hidden="1" x14ac:dyDescent="0.3">
      <c r="A179" t="s">
        <v>461</v>
      </c>
      <c r="B179" t="s">
        <v>462</v>
      </c>
      <c r="C179" t="s">
        <v>5</v>
      </c>
      <c r="D179">
        <v>20472</v>
      </c>
      <c r="E179" t="s">
        <v>487</v>
      </c>
      <c r="F179" t="s">
        <v>60</v>
      </c>
      <c r="G179" t="s">
        <v>488</v>
      </c>
      <c r="H179" t="s">
        <v>489</v>
      </c>
      <c r="I179" t="s">
        <v>25</v>
      </c>
      <c r="J179">
        <v>579</v>
      </c>
      <c r="K179" t="s">
        <v>490</v>
      </c>
      <c r="N179">
        <v>9</v>
      </c>
      <c r="O179">
        <v>0.42509999999999998</v>
      </c>
      <c r="P179" t="s">
        <v>38</v>
      </c>
      <c r="Q179">
        <v>0</v>
      </c>
      <c r="R179" t="s">
        <v>1272</v>
      </c>
      <c r="S179" t="s">
        <v>1275</v>
      </c>
    </row>
    <row r="180" spans="1:19" hidden="1" x14ac:dyDescent="0.3">
      <c r="A180" t="s">
        <v>461</v>
      </c>
      <c r="B180" t="s">
        <v>462</v>
      </c>
      <c r="C180" t="s">
        <v>5</v>
      </c>
      <c r="D180">
        <v>18746</v>
      </c>
      <c r="E180" t="s">
        <v>253</v>
      </c>
      <c r="F180" t="s">
        <v>254</v>
      </c>
      <c r="G180" t="s">
        <v>255</v>
      </c>
      <c r="H180" t="s">
        <v>256</v>
      </c>
      <c r="I180" t="s">
        <v>25</v>
      </c>
      <c r="J180">
        <v>1493</v>
      </c>
      <c r="K180" t="s">
        <v>257</v>
      </c>
      <c r="L180">
        <v>10</v>
      </c>
      <c r="M180">
        <v>6.3174000000000001</v>
      </c>
      <c r="P180" t="s">
        <v>33</v>
      </c>
      <c r="Q180">
        <v>1</v>
      </c>
      <c r="R180" t="s">
        <v>1272</v>
      </c>
      <c r="S180" t="s">
        <v>1298</v>
      </c>
    </row>
    <row r="181" spans="1:19" hidden="1" x14ac:dyDescent="0.3">
      <c r="A181" t="s">
        <v>461</v>
      </c>
      <c r="B181" t="s">
        <v>462</v>
      </c>
      <c r="C181" t="s">
        <v>5</v>
      </c>
      <c r="D181">
        <v>18885</v>
      </c>
      <c r="E181" t="s">
        <v>86</v>
      </c>
      <c r="F181" t="s">
        <v>60</v>
      </c>
      <c r="G181" t="s">
        <v>87</v>
      </c>
      <c r="H181" t="s">
        <v>88</v>
      </c>
      <c r="I181" t="s">
        <v>31</v>
      </c>
      <c r="J181">
        <v>596</v>
      </c>
      <c r="K181" t="s">
        <v>89</v>
      </c>
      <c r="N181">
        <v>10</v>
      </c>
      <c r="O181">
        <v>0.4199</v>
      </c>
      <c r="P181" t="s">
        <v>38</v>
      </c>
      <c r="Q181">
        <v>1</v>
      </c>
      <c r="R181" t="s">
        <v>1272</v>
      </c>
      <c r="S181" t="s">
        <v>1298</v>
      </c>
    </row>
    <row r="182" spans="1:19" hidden="1" x14ac:dyDescent="0.3">
      <c r="A182" t="s">
        <v>491</v>
      </c>
      <c r="B182" t="s">
        <v>492</v>
      </c>
      <c r="C182" t="s">
        <v>5</v>
      </c>
      <c r="D182">
        <v>18703</v>
      </c>
      <c r="E182" t="s">
        <v>116</v>
      </c>
      <c r="F182" t="s">
        <v>117</v>
      </c>
      <c r="G182" t="s">
        <v>118</v>
      </c>
      <c r="H182" t="s">
        <v>119</v>
      </c>
      <c r="I182" t="s">
        <v>31</v>
      </c>
      <c r="J182">
        <v>303</v>
      </c>
      <c r="K182" t="s">
        <v>120</v>
      </c>
      <c r="L182">
        <v>9</v>
      </c>
      <c r="M182">
        <v>4.1116000000000001</v>
      </c>
      <c r="N182">
        <v>1</v>
      </c>
      <c r="O182">
        <v>0.46910000000000002</v>
      </c>
      <c r="P182" t="s">
        <v>27</v>
      </c>
      <c r="Q182">
        <v>2</v>
      </c>
      <c r="R182" t="s">
        <v>1272</v>
      </c>
      <c r="S182" t="s">
        <v>1280</v>
      </c>
    </row>
    <row r="183" spans="1:19" hidden="1" x14ac:dyDescent="0.3">
      <c r="A183" t="s">
        <v>491</v>
      </c>
      <c r="B183" t="s">
        <v>492</v>
      </c>
      <c r="C183" t="s">
        <v>5</v>
      </c>
      <c r="D183">
        <v>18746</v>
      </c>
      <c r="E183" t="s">
        <v>253</v>
      </c>
      <c r="F183" t="s">
        <v>254</v>
      </c>
      <c r="G183" t="s">
        <v>255</v>
      </c>
      <c r="H183" t="s">
        <v>256</v>
      </c>
      <c r="I183" t="s">
        <v>25</v>
      </c>
      <c r="J183">
        <v>1493</v>
      </c>
      <c r="K183" t="s">
        <v>257</v>
      </c>
      <c r="L183">
        <v>1</v>
      </c>
      <c r="M183">
        <v>6.8487</v>
      </c>
      <c r="P183" t="s">
        <v>33</v>
      </c>
      <c r="Q183">
        <v>2</v>
      </c>
      <c r="R183" t="s">
        <v>1272</v>
      </c>
      <c r="S183" t="s">
        <v>1280</v>
      </c>
    </row>
    <row r="184" spans="1:19" hidden="1" x14ac:dyDescent="0.3">
      <c r="A184" t="s">
        <v>491</v>
      </c>
      <c r="B184" t="s">
        <v>492</v>
      </c>
      <c r="C184" t="s">
        <v>5</v>
      </c>
      <c r="D184">
        <v>14198</v>
      </c>
      <c r="E184" t="s">
        <v>73</v>
      </c>
      <c r="F184" t="s">
        <v>74</v>
      </c>
      <c r="G184" t="s">
        <v>75</v>
      </c>
      <c r="H184" t="s">
        <v>76</v>
      </c>
      <c r="I184" t="s">
        <v>31</v>
      </c>
      <c r="J184">
        <v>377</v>
      </c>
      <c r="K184" t="s">
        <v>77</v>
      </c>
      <c r="L184">
        <v>2</v>
      </c>
      <c r="M184">
        <v>5.5420999999999996</v>
      </c>
      <c r="P184" t="s">
        <v>33</v>
      </c>
      <c r="Q184">
        <v>0</v>
      </c>
      <c r="R184" t="s">
        <v>1272</v>
      </c>
      <c r="S184" t="s">
        <v>1311</v>
      </c>
    </row>
    <row r="185" spans="1:19" hidden="1" x14ac:dyDescent="0.3">
      <c r="A185" t="s">
        <v>491</v>
      </c>
      <c r="B185" t="s">
        <v>492</v>
      </c>
      <c r="C185" t="s">
        <v>5</v>
      </c>
      <c r="D185">
        <v>20803</v>
      </c>
      <c r="E185" t="s">
        <v>94</v>
      </c>
      <c r="F185" t="s">
        <v>95</v>
      </c>
      <c r="G185" t="s">
        <v>96</v>
      </c>
      <c r="H185" t="s">
        <v>97</v>
      </c>
      <c r="I185" t="s">
        <v>31</v>
      </c>
      <c r="J185">
        <v>100</v>
      </c>
      <c r="K185" t="s">
        <v>98</v>
      </c>
      <c r="N185">
        <v>2</v>
      </c>
      <c r="O185">
        <v>0.44059999999999999</v>
      </c>
      <c r="P185" t="s">
        <v>38</v>
      </c>
      <c r="Q185">
        <v>2</v>
      </c>
      <c r="R185" t="s">
        <v>1272</v>
      </c>
      <c r="S185" t="s">
        <v>1280</v>
      </c>
    </row>
    <row r="186" spans="1:19" hidden="1" x14ac:dyDescent="0.3">
      <c r="A186" t="s">
        <v>491</v>
      </c>
      <c r="B186" t="s">
        <v>492</v>
      </c>
      <c r="C186" t="s">
        <v>5</v>
      </c>
      <c r="D186">
        <v>4828</v>
      </c>
      <c r="E186" t="s">
        <v>54</v>
      </c>
      <c r="F186" t="s">
        <v>55</v>
      </c>
      <c r="G186" t="s">
        <v>56</v>
      </c>
      <c r="H186" t="s">
        <v>57</v>
      </c>
      <c r="I186" t="s">
        <v>25</v>
      </c>
      <c r="J186">
        <v>546</v>
      </c>
      <c r="K186" t="s">
        <v>58</v>
      </c>
      <c r="N186">
        <v>3</v>
      </c>
      <c r="O186">
        <v>0.4395</v>
      </c>
      <c r="P186" t="s">
        <v>38</v>
      </c>
      <c r="Q186">
        <v>1</v>
      </c>
      <c r="R186" t="s">
        <v>1272</v>
      </c>
      <c r="S186" t="s">
        <v>1307</v>
      </c>
    </row>
    <row r="187" spans="1:19" hidden="1" x14ac:dyDescent="0.3">
      <c r="A187" t="s">
        <v>491</v>
      </c>
      <c r="B187" t="s">
        <v>492</v>
      </c>
      <c r="C187" t="s">
        <v>5</v>
      </c>
      <c r="D187">
        <v>19982</v>
      </c>
      <c r="E187" t="s">
        <v>28</v>
      </c>
      <c r="F187" t="s">
        <v>22</v>
      </c>
      <c r="G187" t="s">
        <v>29</v>
      </c>
      <c r="H187" t="s">
        <v>30</v>
      </c>
      <c r="I187" t="s">
        <v>31</v>
      </c>
      <c r="J187">
        <v>543</v>
      </c>
      <c r="K187" t="s">
        <v>32</v>
      </c>
      <c r="L187">
        <v>3</v>
      </c>
      <c r="M187">
        <v>5.1437999999999997</v>
      </c>
      <c r="P187" t="s">
        <v>33</v>
      </c>
      <c r="Q187">
        <v>1</v>
      </c>
      <c r="R187" t="s">
        <v>1272</v>
      </c>
      <c r="S187" t="s">
        <v>1307</v>
      </c>
    </row>
    <row r="188" spans="1:19" hidden="1" x14ac:dyDescent="0.3">
      <c r="A188" t="s">
        <v>491</v>
      </c>
      <c r="B188" t="s">
        <v>492</v>
      </c>
      <c r="C188" t="s">
        <v>5</v>
      </c>
      <c r="D188">
        <v>16838</v>
      </c>
      <c r="E188" t="s">
        <v>129</v>
      </c>
      <c r="F188" t="s">
        <v>60</v>
      </c>
      <c r="G188" t="s">
        <v>130</v>
      </c>
      <c r="H188" t="s">
        <v>131</v>
      </c>
      <c r="I188" t="s">
        <v>31</v>
      </c>
      <c r="J188">
        <v>3435</v>
      </c>
      <c r="K188" t="s">
        <v>132</v>
      </c>
      <c r="L188">
        <v>4</v>
      </c>
      <c r="M188">
        <v>4.8304</v>
      </c>
      <c r="P188" t="s">
        <v>33</v>
      </c>
      <c r="Q188">
        <v>1</v>
      </c>
      <c r="R188" t="s">
        <v>1272</v>
      </c>
      <c r="S188" t="s">
        <v>1307</v>
      </c>
    </row>
    <row r="189" spans="1:19" hidden="1" x14ac:dyDescent="0.3">
      <c r="A189" t="s">
        <v>491</v>
      </c>
      <c r="B189" t="s">
        <v>492</v>
      </c>
      <c r="C189" t="s">
        <v>5</v>
      </c>
      <c r="D189">
        <v>20259</v>
      </c>
      <c r="E189" t="s">
        <v>49</v>
      </c>
      <c r="F189" t="s">
        <v>50</v>
      </c>
      <c r="G189" t="s">
        <v>51</v>
      </c>
      <c r="H189" t="s">
        <v>52</v>
      </c>
      <c r="I189" t="s">
        <v>25</v>
      </c>
      <c r="J189">
        <v>313</v>
      </c>
      <c r="K189" t="s">
        <v>53</v>
      </c>
      <c r="N189">
        <v>4</v>
      </c>
      <c r="O189">
        <v>0.43669999999999998</v>
      </c>
      <c r="P189" t="s">
        <v>38</v>
      </c>
      <c r="Q189">
        <v>1</v>
      </c>
      <c r="R189" t="s">
        <v>1272</v>
      </c>
      <c r="S189" t="s">
        <v>1307</v>
      </c>
    </row>
    <row r="190" spans="1:19" hidden="1" x14ac:dyDescent="0.3">
      <c r="A190" t="s">
        <v>491</v>
      </c>
      <c r="B190" t="s">
        <v>492</v>
      </c>
      <c r="C190" t="s">
        <v>5</v>
      </c>
      <c r="D190">
        <v>19775</v>
      </c>
      <c r="E190" t="s">
        <v>456</v>
      </c>
      <c r="F190" t="s">
        <v>457</v>
      </c>
      <c r="G190" t="s">
        <v>458</v>
      </c>
      <c r="H190" t="s">
        <v>459</v>
      </c>
      <c r="I190" t="s">
        <v>25</v>
      </c>
      <c r="J190">
        <v>325</v>
      </c>
      <c r="K190" t="s">
        <v>460</v>
      </c>
      <c r="L190">
        <v>5</v>
      </c>
      <c r="M190">
        <v>4.1757999999999997</v>
      </c>
      <c r="P190" t="s">
        <v>33</v>
      </c>
      <c r="Q190">
        <v>1</v>
      </c>
      <c r="R190" t="s">
        <v>1272</v>
      </c>
      <c r="S190" t="s">
        <v>1308</v>
      </c>
    </row>
    <row r="191" spans="1:19" hidden="1" x14ac:dyDescent="0.3">
      <c r="A191" t="s">
        <v>491</v>
      </c>
      <c r="B191" t="s">
        <v>492</v>
      </c>
      <c r="C191" t="s">
        <v>5</v>
      </c>
      <c r="D191">
        <v>20773</v>
      </c>
      <c r="E191" t="s">
        <v>109</v>
      </c>
      <c r="F191" t="s">
        <v>60</v>
      </c>
      <c r="G191" t="s">
        <v>41</v>
      </c>
      <c r="H191" t="s">
        <v>110</v>
      </c>
      <c r="I191" t="s">
        <v>25</v>
      </c>
      <c r="J191">
        <v>1156</v>
      </c>
      <c r="K191" t="s">
        <v>111</v>
      </c>
      <c r="N191">
        <v>5</v>
      </c>
      <c r="O191">
        <v>0.4345</v>
      </c>
      <c r="P191" t="s">
        <v>38</v>
      </c>
      <c r="Q191">
        <v>1</v>
      </c>
      <c r="R191" t="s">
        <v>1272</v>
      </c>
      <c r="S191" t="s">
        <v>1307</v>
      </c>
    </row>
    <row r="192" spans="1:19" hidden="1" x14ac:dyDescent="0.3">
      <c r="A192" t="s">
        <v>491</v>
      </c>
      <c r="B192" t="s">
        <v>492</v>
      </c>
      <c r="C192" t="s">
        <v>5</v>
      </c>
      <c r="D192">
        <v>9820</v>
      </c>
      <c r="E192" t="s">
        <v>150</v>
      </c>
      <c r="F192" t="s">
        <v>60</v>
      </c>
      <c r="G192" t="s">
        <v>151</v>
      </c>
      <c r="H192" t="s">
        <v>152</v>
      </c>
      <c r="I192" t="s">
        <v>25</v>
      </c>
      <c r="J192">
        <v>2512</v>
      </c>
      <c r="K192" t="s">
        <v>153</v>
      </c>
      <c r="N192">
        <v>6</v>
      </c>
      <c r="O192">
        <v>0.43159999999999998</v>
      </c>
      <c r="P192" t="s">
        <v>38</v>
      </c>
      <c r="Q192">
        <v>1</v>
      </c>
      <c r="R192" t="s">
        <v>1272</v>
      </c>
      <c r="S192" t="s">
        <v>1309</v>
      </c>
    </row>
    <row r="193" spans="1:19" hidden="1" x14ac:dyDescent="0.3">
      <c r="A193" t="s">
        <v>491</v>
      </c>
      <c r="B193" t="s">
        <v>492</v>
      </c>
      <c r="C193" t="s">
        <v>5</v>
      </c>
      <c r="D193">
        <v>20799</v>
      </c>
      <c r="E193" t="s">
        <v>493</v>
      </c>
      <c r="F193" t="s">
        <v>494</v>
      </c>
      <c r="G193" t="s">
        <v>495</v>
      </c>
      <c r="H193" t="s">
        <v>496</v>
      </c>
      <c r="I193" t="s">
        <v>25</v>
      </c>
      <c r="J193">
        <v>575</v>
      </c>
      <c r="K193" t="s">
        <v>497</v>
      </c>
      <c r="L193">
        <v>6</v>
      </c>
      <c r="M193">
        <v>4.1630000000000003</v>
      </c>
      <c r="P193" t="s">
        <v>33</v>
      </c>
      <c r="Q193">
        <v>2</v>
      </c>
      <c r="R193" t="s">
        <v>1272</v>
      </c>
      <c r="S193" t="s">
        <v>1280</v>
      </c>
    </row>
    <row r="194" spans="1:19" hidden="1" x14ac:dyDescent="0.3">
      <c r="A194" t="s">
        <v>491</v>
      </c>
      <c r="B194" t="s">
        <v>492</v>
      </c>
      <c r="C194" t="s">
        <v>5</v>
      </c>
      <c r="D194">
        <v>541</v>
      </c>
      <c r="E194" t="s">
        <v>170</v>
      </c>
      <c r="F194" t="s">
        <v>155</v>
      </c>
      <c r="G194" t="s">
        <v>171</v>
      </c>
      <c r="H194" t="s">
        <v>172</v>
      </c>
      <c r="I194" t="s">
        <v>25</v>
      </c>
      <c r="J194">
        <v>738</v>
      </c>
      <c r="K194" t="s">
        <v>173</v>
      </c>
      <c r="L194">
        <v>7</v>
      </c>
      <c r="M194">
        <v>4.1559999999999997</v>
      </c>
      <c r="P194" t="s">
        <v>33</v>
      </c>
      <c r="Q194">
        <v>1</v>
      </c>
      <c r="R194" t="s">
        <v>1272</v>
      </c>
      <c r="S194" t="s">
        <v>1307</v>
      </c>
    </row>
    <row r="195" spans="1:19" hidden="1" x14ac:dyDescent="0.3">
      <c r="A195" t="s">
        <v>491</v>
      </c>
      <c r="B195" t="s">
        <v>492</v>
      </c>
      <c r="C195" t="s">
        <v>5</v>
      </c>
      <c r="D195">
        <v>18262</v>
      </c>
      <c r="E195" t="s">
        <v>141</v>
      </c>
      <c r="F195" t="s">
        <v>142</v>
      </c>
      <c r="G195" t="s">
        <v>143</v>
      </c>
      <c r="H195" t="s">
        <v>144</v>
      </c>
      <c r="I195" t="s">
        <v>25</v>
      </c>
      <c r="J195">
        <v>426</v>
      </c>
      <c r="K195" t="s">
        <v>145</v>
      </c>
      <c r="N195">
        <v>7</v>
      </c>
      <c r="O195">
        <v>0.42609999999999998</v>
      </c>
      <c r="P195" t="s">
        <v>38</v>
      </c>
      <c r="Q195">
        <v>1</v>
      </c>
      <c r="R195" t="s">
        <v>1272</v>
      </c>
      <c r="S195" t="s">
        <v>1310</v>
      </c>
    </row>
    <row r="196" spans="1:19" hidden="1" x14ac:dyDescent="0.3">
      <c r="A196" t="s">
        <v>491</v>
      </c>
      <c r="B196" t="s">
        <v>492</v>
      </c>
      <c r="C196" t="s">
        <v>5</v>
      </c>
      <c r="D196">
        <v>13481</v>
      </c>
      <c r="E196" t="s">
        <v>270</v>
      </c>
      <c r="F196" t="s">
        <v>55</v>
      </c>
      <c r="G196" t="s">
        <v>271</v>
      </c>
      <c r="H196" t="s">
        <v>272</v>
      </c>
      <c r="I196" t="s">
        <v>31</v>
      </c>
      <c r="J196">
        <v>690</v>
      </c>
      <c r="K196" t="s">
        <v>273</v>
      </c>
      <c r="N196">
        <v>8</v>
      </c>
      <c r="O196">
        <v>0.4249</v>
      </c>
      <c r="P196" t="s">
        <v>38</v>
      </c>
      <c r="Q196">
        <v>1</v>
      </c>
      <c r="R196" t="s">
        <v>1272</v>
      </c>
      <c r="S196" t="s">
        <v>1307</v>
      </c>
    </row>
    <row r="197" spans="1:19" hidden="1" x14ac:dyDescent="0.3">
      <c r="A197" t="s">
        <v>491</v>
      </c>
      <c r="B197" t="s">
        <v>492</v>
      </c>
      <c r="C197" t="s">
        <v>5</v>
      </c>
      <c r="D197">
        <v>17650</v>
      </c>
      <c r="E197" t="s">
        <v>195</v>
      </c>
      <c r="F197" t="s">
        <v>155</v>
      </c>
      <c r="G197" t="s">
        <v>196</v>
      </c>
      <c r="H197" t="s">
        <v>197</v>
      </c>
      <c r="I197" t="s">
        <v>25</v>
      </c>
      <c r="J197">
        <v>700</v>
      </c>
      <c r="K197" t="s">
        <v>198</v>
      </c>
      <c r="L197">
        <v>8</v>
      </c>
      <c r="M197">
        <v>4.1303000000000001</v>
      </c>
      <c r="P197" t="s">
        <v>33</v>
      </c>
      <c r="Q197">
        <v>1</v>
      </c>
      <c r="R197" t="s">
        <v>1272</v>
      </c>
      <c r="S197" t="s">
        <v>1307</v>
      </c>
    </row>
    <row r="198" spans="1:19" hidden="1" x14ac:dyDescent="0.3">
      <c r="A198" t="s">
        <v>491</v>
      </c>
      <c r="B198" t="s">
        <v>492</v>
      </c>
      <c r="C198" t="s">
        <v>5</v>
      </c>
      <c r="D198">
        <v>11918</v>
      </c>
      <c r="E198" t="s">
        <v>133</v>
      </c>
      <c r="F198" t="s">
        <v>60</v>
      </c>
      <c r="G198" t="s">
        <v>134</v>
      </c>
      <c r="H198" t="s">
        <v>135</v>
      </c>
      <c r="I198" t="s">
        <v>25</v>
      </c>
      <c r="J198">
        <v>3604</v>
      </c>
      <c r="K198" t="s">
        <v>136</v>
      </c>
      <c r="N198">
        <v>9</v>
      </c>
      <c r="O198">
        <v>0.42449999999999999</v>
      </c>
      <c r="P198" t="s">
        <v>38</v>
      </c>
      <c r="Q198">
        <v>1</v>
      </c>
      <c r="R198" t="s">
        <v>1272</v>
      </c>
      <c r="S198" t="s">
        <v>1307</v>
      </c>
    </row>
    <row r="199" spans="1:19" hidden="1" x14ac:dyDescent="0.3">
      <c r="A199" t="s">
        <v>491</v>
      </c>
      <c r="B199" t="s">
        <v>492</v>
      </c>
      <c r="C199" t="s">
        <v>5</v>
      </c>
      <c r="D199">
        <v>171</v>
      </c>
      <c r="E199" t="s">
        <v>102</v>
      </c>
      <c r="F199" t="s">
        <v>103</v>
      </c>
      <c r="G199" t="s">
        <v>104</v>
      </c>
      <c r="H199" t="s">
        <v>105</v>
      </c>
      <c r="I199" t="s">
        <v>31</v>
      </c>
      <c r="J199">
        <v>474</v>
      </c>
      <c r="K199" t="s">
        <v>106</v>
      </c>
      <c r="N199">
        <v>10</v>
      </c>
      <c r="O199">
        <v>0.42370000000000002</v>
      </c>
      <c r="P199" t="s">
        <v>38</v>
      </c>
      <c r="Q199">
        <v>1</v>
      </c>
      <c r="R199" t="s">
        <v>1272</v>
      </c>
      <c r="S199" t="s">
        <v>1307</v>
      </c>
    </row>
    <row r="200" spans="1:19" hidden="1" x14ac:dyDescent="0.3">
      <c r="A200" t="s">
        <v>491</v>
      </c>
      <c r="B200" t="s">
        <v>492</v>
      </c>
      <c r="C200" t="s">
        <v>5</v>
      </c>
      <c r="D200">
        <v>20336</v>
      </c>
      <c r="E200" t="s">
        <v>498</v>
      </c>
      <c r="F200" t="s">
        <v>499</v>
      </c>
      <c r="G200" t="s">
        <v>500</v>
      </c>
      <c r="H200" t="s">
        <v>501</v>
      </c>
      <c r="I200" t="s">
        <v>31</v>
      </c>
      <c r="J200">
        <v>1081</v>
      </c>
      <c r="K200" t="s">
        <v>502</v>
      </c>
      <c r="L200">
        <v>10</v>
      </c>
      <c r="M200">
        <v>4.0622999999999996</v>
      </c>
      <c r="P200" t="s">
        <v>33</v>
      </c>
      <c r="Q200">
        <v>2</v>
      </c>
      <c r="R200" t="s">
        <v>1272</v>
      </c>
      <c r="S200" t="s">
        <v>1280</v>
      </c>
    </row>
    <row r="201" spans="1:19" hidden="1" x14ac:dyDescent="0.3">
      <c r="A201" t="s">
        <v>503</v>
      </c>
      <c r="B201" t="s">
        <v>504</v>
      </c>
      <c r="C201" t="s">
        <v>5</v>
      </c>
      <c r="D201">
        <v>14198</v>
      </c>
      <c r="E201" t="s">
        <v>73</v>
      </c>
      <c r="F201" t="s">
        <v>74</v>
      </c>
      <c r="G201" t="s">
        <v>75</v>
      </c>
      <c r="H201" t="s">
        <v>76</v>
      </c>
      <c r="I201" t="s">
        <v>31</v>
      </c>
      <c r="J201">
        <v>377</v>
      </c>
      <c r="K201" t="s">
        <v>77</v>
      </c>
      <c r="L201">
        <v>1</v>
      </c>
      <c r="M201">
        <v>6.9805000000000001</v>
      </c>
      <c r="P201" t="s">
        <v>33</v>
      </c>
      <c r="Q201">
        <v>0</v>
      </c>
      <c r="R201" t="s">
        <v>1272</v>
      </c>
      <c r="S201" t="s">
        <v>1295</v>
      </c>
    </row>
    <row r="202" spans="1:19" hidden="1" x14ac:dyDescent="0.3">
      <c r="A202" t="s">
        <v>503</v>
      </c>
      <c r="B202" t="s">
        <v>504</v>
      </c>
      <c r="C202" t="s">
        <v>5</v>
      </c>
      <c r="D202">
        <v>20259</v>
      </c>
      <c r="E202" t="s">
        <v>49</v>
      </c>
      <c r="F202" t="s">
        <v>50</v>
      </c>
      <c r="G202" t="s">
        <v>51</v>
      </c>
      <c r="H202" t="s">
        <v>52</v>
      </c>
      <c r="I202" t="s">
        <v>25</v>
      </c>
      <c r="J202">
        <v>313</v>
      </c>
      <c r="K202" t="s">
        <v>53</v>
      </c>
      <c r="N202">
        <v>1</v>
      </c>
      <c r="O202">
        <v>0.42870000000000003</v>
      </c>
      <c r="P202" t="s">
        <v>38</v>
      </c>
      <c r="Q202">
        <v>0</v>
      </c>
      <c r="R202" t="s">
        <v>1272</v>
      </c>
      <c r="S202" t="s">
        <v>1295</v>
      </c>
    </row>
    <row r="203" spans="1:19" hidden="1" x14ac:dyDescent="0.3">
      <c r="A203" t="s">
        <v>503</v>
      </c>
      <c r="B203" t="s">
        <v>504</v>
      </c>
      <c r="C203" t="s">
        <v>5</v>
      </c>
      <c r="D203">
        <v>541</v>
      </c>
      <c r="E203" t="s">
        <v>170</v>
      </c>
      <c r="F203" t="s">
        <v>155</v>
      </c>
      <c r="G203" t="s">
        <v>171</v>
      </c>
      <c r="H203" t="s">
        <v>172</v>
      </c>
      <c r="I203" t="s">
        <v>25</v>
      </c>
      <c r="J203">
        <v>738</v>
      </c>
      <c r="K203" t="s">
        <v>173</v>
      </c>
      <c r="L203">
        <v>2</v>
      </c>
      <c r="M203">
        <v>6.6524999999999999</v>
      </c>
      <c r="P203" t="s">
        <v>33</v>
      </c>
      <c r="Q203">
        <v>1</v>
      </c>
      <c r="R203" t="s">
        <v>1272</v>
      </c>
      <c r="S203" t="s">
        <v>1312</v>
      </c>
    </row>
    <row r="204" spans="1:19" hidden="1" x14ac:dyDescent="0.3">
      <c r="A204" t="s">
        <v>503</v>
      </c>
      <c r="B204" t="s">
        <v>504</v>
      </c>
      <c r="C204" t="s">
        <v>5</v>
      </c>
      <c r="D204">
        <v>9820</v>
      </c>
      <c r="E204" t="s">
        <v>150</v>
      </c>
      <c r="F204" t="s">
        <v>60</v>
      </c>
      <c r="G204" t="s">
        <v>151</v>
      </c>
      <c r="H204" t="s">
        <v>152</v>
      </c>
      <c r="I204" t="s">
        <v>25</v>
      </c>
      <c r="J204">
        <v>2512</v>
      </c>
      <c r="K204" t="s">
        <v>153</v>
      </c>
      <c r="N204">
        <v>2</v>
      </c>
      <c r="O204">
        <v>0.42709999999999998</v>
      </c>
      <c r="P204" t="s">
        <v>38</v>
      </c>
      <c r="Q204">
        <v>0</v>
      </c>
      <c r="R204" t="s">
        <v>1272</v>
      </c>
      <c r="S204" t="s">
        <v>1295</v>
      </c>
    </row>
    <row r="205" spans="1:19" hidden="1" x14ac:dyDescent="0.3">
      <c r="A205" t="s">
        <v>503</v>
      </c>
      <c r="B205" t="s">
        <v>504</v>
      </c>
      <c r="C205" t="s">
        <v>5</v>
      </c>
      <c r="D205">
        <v>17650</v>
      </c>
      <c r="E205" t="s">
        <v>195</v>
      </c>
      <c r="F205" t="s">
        <v>155</v>
      </c>
      <c r="G205" t="s">
        <v>196</v>
      </c>
      <c r="H205" t="s">
        <v>197</v>
      </c>
      <c r="I205" t="s">
        <v>25</v>
      </c>
      <c r="J205">
        <v>700</v>
      </c>
      <c r="K205" t="s">
        <v>198</v>
      </c>
      <c r="L205">
        <v>3</v>
      </c>
      <c r="M205">
        <v>5.9177</v>
      </c>
      <c r="P205" t="s">
        <v>33</v>
      </c>
      <c r="Q205">
        <v>0</v>
      </c>
      <c r="R205" t="s">
        <v>1272</v>
      </c>
      <c r="S205" t="s">
        <v>1295</v>
      </c>
    </row>
    <row r="206" spans="1:19" hidden="1" x14ac:dyDescent="0.3">
      <c r="A206" t="s">
        <v>503</v>
      </c>
      <c r="B206" t="s">
        <v>504</v>
      </c>
      <c r="C206" t="s">
        <v>5</v>
      </c>
      <c r="D206">
        <v>20799</v>
      </c>
      <c r="E206" t="s">
        <v>493</v>
      </c>
      <c r="F206" t="s">
        <v>494</v>
      </c>
      <c r="G206" t="s">
        <v>495</v>
      </c>
      <c r="H206" t="s">
        <v>496</v>
      </c>
      <c r="I206" t="s">
        <v>25</v>
      </c>
      <c r="J206">
        <v>575</v>
      </c>
      <c r="K206" t="s">
        <v>497</v>
      </c>
      <c r="L206">
        <v>8</v>
      </c>
      <c r="M206">
        <v>4.5277000000000003</v>
      </c>
      <c r="N206">
        <v>3</v>
      </c>
      <c r="O206">
        <v>0.41820000000000002</v>
      </c>
      <c r="P206" t="s">
        <v>27</v>
      </c>
      <c r="Q206">
        <v>1</v>
      </c>
      <c r="R206" t="s">
        <v>1272</v>
      </c>
      <c r="S206" t="s">
        <v>1313</v>
      </c>
    </row>
    <row r="207" spans="1:19" hidden="1" x14ac:dyDescent="0.3">
      <c r="A207" t="s">
        <v>503</v>
      </c>
      <c r="B207" t="s">
        <v>504</v>
      </c>
      <c r="C207" t="s">
        <v>5</v>
      </c>
      <c r="D207">
        <v>16546</v>
      </c>
      <c r="E207" t="s">
        <v>249</v>
      </c>
      <c r="F207" t="s">
        <v>74</v>
      </c>
      <c r="G207" t="s">
        <v>250</v>
      </c>
      <c r="H207" t="s">
        <v>251</v>
      </c>
      <c r="I207" t="s">
        <v>25</v>
      </c>
      <c r="J207">
        <v>238</v>
      </c>
      <c r="K207" t="s">
        <v>252</v>
      </c>
      <c r="N207">
        <v>4</v>
      </c>
      <c r="O207">
        <v>0.41510000000000002</v>
      </c>
      <c r="P207" t="s">
        <v>38</v>
      </c>
      <c r="Q207">
        <v>1</v>
      </c>
      <c r="R207" t="s">
        <v>1272</v>
      </c>
      <c r="S207" t="s">
        <v>1314</v>
      </c>
    </row>
    <row r="208" spans="1:19" hidden="1" x14ac:dyDescent="0.3">
      <c r="A208" t="s">
        <v>503</v>
      </c>
      <c r="B208" t="s">
        <v>504</v>
      </c>
      <c r="C208" t="s">
        <v>5</v>
      </c>
      <c r="D208">
        <v>16838</v>
      </c>
      <c r="E208" t="s">
        <v>129</v>
      </c>
      <c r="F208" t="s">
        <v>60</v>
      </c>
      <c r="G208" t="s">
        <v>130</v>
      </c>
      <c r="H208" t="s">
        <v>131</v>
      </c>
      <c r="I208" t="s">
        <v>31</v>
      </c>
      <c r="J208">
        <v>3435</v>
      </c>
      <c r="K208" t="s">
        <v>132</v>
      </c>
      <c r="L208">
        <v>4</v>
      </c>
      <c r="M208">
        <v>5.8217999999999996</v>
      </c>
      <c r="P208" t="s">
        <v>33</v>
      </c>
      <c r="Q208">
        <v>0</v>
      </c>
      <c r="R208" t="s">
        <v>1272</v>
      </c>
      <c r="S208" t="s">
        <v>1295</v>
      </c>
    </row>
    <row r="209" spans="1:19" hidden="1" x14ac:dyDescent="0.3">
      <c r="A209" t="s">
        <v>503</v>
      </c>
      <c r="B209" t="s">
        <v>504</v>
      </c>
      <c r="C209" t="s">
        <v>5</v>
      </c>
      <c r="D209">
        <v>1053</v>
      </c>
      <c r="E209" t="s">
        <v>505</v>
      </c>
      <c r="F209" t="s">
        <v>74</v>
      </c>
      <c r="G209" t="s">
        <v>506</v>
      </c>
      <c r="H209" t="s">
        <v>507</v>
      </c>
      <c r="I209" t="s">
        <v>25</v>
      </c>
      <c r="J209">
        <v>328</v>
      </c>
      <c r="K209" t="s">
        <v>508</v>
      </c>
      <c r="L209">
        <v>5</v>
      </c>
      <c r="M209">
        <v>5.4882</v>
      </c>
      <c r="P209" t="s">
        <v>33</v>
      </c>
      <c r="Q209">
        <v>1</v>
      </c>
      <c r="R209" t="s">
        <v>1272</v>
      </c>
      <c r="S209" t="s">
        <v>1314</v>
      </c>
    </row>
    <row r="210" spans="1:19" hidden="1" x14ac:dyDescent="0.3">
      <c r="A210" t="s">
        <v>503</v>
      </c>
      <c r="B210" t="s">
        <v>504</v>
      </c>
      <c r="C210" t="s">
        <v>5</v>
      </c>
      <c r="D210">
        <v>15093</v>
      </c>
      <c r="E210" t="s">
        <v>452</v>
      </c>
      <c r="F210" t="s">
        <v>60</v>
      </c>
      <c r="G210" t="s">
        <v>453</v>
      </c>
      <c r="H210" t="s">
        <v>454</v>
      </c>
      <c r="I210" t="s">
        <v>31</v>
      </c>
      <c r="J210">
        <v>892</v>
      </c>
      <c r="K210" t="s">
        <v>455</v>
      </c>
      <c r="N210">
        <v>5</v>
      </c>
      <c r="O210">
        <v>0.4128</v>
      </c>
      <c r="P210" t="s">
        <v>38</v>
      </c>
      <c r="Q210">
        <v>0</v>
      </c>
      <c r="R210" t="s">
        <v>1272</v>
      </c>
      <c r="S210" t="s">
        <v>1295</v>
      </c>
    </row>
    <row r="211" spans="1:19" hidden="1" x14ac:dyDescent="0.3">
      <c r="A211" t="s">
        <v>503</v>
      </c>
      <c r="B211" t="s">
        <v>504</v>
      </c>
      <c r="C211" t="s">
        <v>5</v>
      </c>
      <c r="D211">
        <v>14103</v>
      </c>
      <c r="E211" t="s">
        <v>509</v>
      </c>
      <c r="F211" t="s">
        <v>74</v>
      </c>
      <c r="G211" t="s">
        <v>510</v>
      </c>
      <c r="H211" t="s">
        <v>511</v>
      </c>
      <c r="I211" t="s">
        <v>31</v>
      </c>
      <c r="J211">
        <v>290</v>
      </c>
      <c r="K211" t="s">
        <v>512</v>
      </c>
      <c r="N211">
        <v>6</v>
      </c>
      <c r="O211">
        <v>0.40970000000000001</v>
      </c>
      <c r="P211" t="s">
        <v>38</v>
      </c>
      <c r="Q211">
        <v>0</v>
      </c>
      <c r="R211" t="s">
        <v>1272</v>
      </c>
      <c r="S211" t="s">
        <v>1295</v>
      </c>
    </row>
    <row r="212" spans="1:19" hidden="1" x14ac:dyDescent="0.3">
      <c r="A212" t="s">
        <v>503</v>
      </c>
      <c r="B212" t="s">
        <v>504</v>
      </c>
      <c r="C212" t="s">
        <v>5</v>
      </c>
      <c r="D212">
        <v>18746</v>
      </c>
      <c r="E212" t="s">
        <v>253</v>
      </c>
      <c r="F212" t="s">
        <v>254</v>
      </c>
      <c r="G212" t="s">
        <v>255</v>
      </c>
      <c r="H212" t="s">
        <v>256</v>
      </c>
      <c r="I212" t="s">
        <v>25</v>
      </c>
      <c r="J212">
        <v>1493</v>
      </c>
      <c r="K212" t="s">
        <v>257</v>
      </c>
      <c r="L212">
        <v>6</v>
      </c>
      <c r="M212">
        <v>4.8357999999999999</v>
      </c>
      <c r="P212" t="s">
        <v>33</v>
      </c>
      <c r="Q212">
        <v>2</v>
      </c>
      <c r="R212" t="s">
        <v>1272</v>
      </c>
      <c r="S212" t="s">
        <v>1280</v>
      </c>
    </row>
    <row r="213" spans="1:19" hidden="1" x14ac:dyDescent="0.3">
      <c r="A213" t="s">
        <v>503</v>
      </c>
      <c r="B213" t="s">
        <v>504</v>
      </c>
      <c r="C213" t="s">
        <v>5</v>
      </c>
      <c r="D213">
        <v>12671</v>
      </c>
      <c r="E213" t="s">
        <v>475</v>
      </c>
      <c r="F213" t="s">
        <v>160</v>
      </c>
      <c r="G213" t="s">
        <v>476</v>
      </c>
      <c r="H213" t="s">
        <v>477</v>
      </c>
      <c r="I213" t="s">
        <v>31</v>
      </c>
      <c r="J213">
        <v>670</v>
      </c>
      <c r="K213" t="s">
        <v>478</v>
      </c>
      <c r="L213">
        <v>9</v>
      </c>
      <c r="M213">
        <v>4.5193000000000003</v>
      </c>
      <c r="N213">
        <v>7</v>
      </c>
      <c r="O213">
        <v>0.40839999999999999</v>
      </c>
      <c r="P213" t="s">
        <v>27</v>
      </c>
      <c r="Q213">
        <v>1</v>
      </c>
      <c r="R213" t="s">
        <v>1272</v>
      </c>
      <c r="S213" t="s">
        <v>1314</v>
      </c>
    </row>
    <row r="214" spans="1:19" hidden="1" x14ac:dyDescent="0.3">
      <c r="A214" t="s">
        <v>503</v>
      </c>
      <c r="B214" t="s">
        <v>504</v>
      </c>
      <c r="C214" t="s">
        <v>5</v>
      </c>
      <c r="D214">
        <v>19019</v>
      </c>
      <c r="E214" t="s">
        <v>296</v>
      </c>
      <c r="F214" t="s">
        <v>297</v>
      </c>
      <c r="G214" t="s">
        <v>298</v>
      </c>
      <c r="H214" t="s">
        <v>299</v>
      </c>
      <c r="I214" t="s">
        <v>25</v>
      </c>
      <c r="J214">
        <v>999</v>
      </c>
      <c r="K214" t="s">
        <v>300</v>
      </c>
      <c r="L214">
        <v>7</v>
      </c>
      <c r="M214">
        <v>4.7603999999999997</v>
      </c>
      <c r="N214">
        <v>8</v>
      </c>
      <c r="O214">
        <v>0.40050000000000002</v>
      </c>
      <c r="P214" t="s">
        <v>27</v>
      </c>
      <c r="Q214">
        <v>2</v>
      </c>
      <c r="R214" t="s">
        <v>1272</v>
      </c>
      <c r="S214" t="s">
        <v>1280</v>
      </c>
    </row>
    <row r="215" spans="1:19" hidden="1" x14ac:dyDescent="0.3">
      <c r="A215" t="s">
        <v>503</v>
      </c>
      <c r="B215" t="s">
        <v>504</v>
      </c>
      <c r="C215" t="s">
        <v>5</v>
      </c>
      <c r="D215">
        <v>13514</v>
      </c>
      <c r="E215" t="s">
        <v>64</v>
      </c>
      <c r="F215" t="s">
        <v>60</v>
      </c>
      <c r="G215" t="s">
        <v>65</v>
      </c>
      <c r="H215" t="s">
        <v>66</v>
      </c>
      <c r="I215" t="s">
        <v>31</v>
      </c>
      <c r="J215">
        <v>587</v>
      </c>
      <c r="K215" t="s">
        <v>67</v>
      </c>
      <c r="N215">
        <v>9</v>
      </c>
      <c r="O215">
        <v>0.39979999999999999</v>
      </c>
      <c r="P215" t="s">
        <v>38</v>
      </c>
      <c r="Q215">
        <v>0</v>
      </c>
      <c r="R215" t="s">
        <v>1272</v>
      </c>
      <c r="S215" t="s">
        <v>1295</v>
      </c>
    </row>
    <row r="216" spans="1:19" hidden="1" x14ac:dyDescent="0.3">
      <c r="A216" t="s">
        <v>503</v>
      </c>
      <c r="B216" t="s">
        <v>504</v>
      </c>
      <c r="C216" t="s">
        <v>5</v>
      </c>
      <c r="D216">
        <v>15995</v>
      </c>
      <c r="E216" t="s">
        <v>513</v>
      </c>
      <c r="F216" t="s">
        <v>155</v>
      </c>
      <c r="G216" t="s">
        <v>514</v>
      </c>
      <c r="H216" t="s">
        <v>515</v>
      </c>
      <c r="I216" t="s">
        <v>31</v>
      </c>
      <c r="J216">
        <v>1282</v>
      </c>
      <c r="K216" t="s">
        <v>516</v>
      </c>
      <c r="L216">
        <v>10</v>
      </c>
      <c r="M216">
        <v>4.3372999999999999</v>
      </c>
      <c r="P216" t="s">
        <v>33</v>
      </c>
      <c r="Q216">
        <v>1</v>
      </c>
      <c r="R216" t="s">
        <v>1272</v>
      </c>
      <c r="S216" t="s">
        <v>1315</v>
      </c>
    </row>
    <row r="217" spans="1:19" hidden="1" x14ac:dyDescent="0.3">
      <c r="A217" t="s">
        <v>503</v>
      </c>
      <c r="B217" t="s">
        <v>504</v>
      </c>
      <c r="C217" t="s">
        <v>5</v>
      </c>
      <c r="D217">
        <v>18703</v>
      </c>
      <c r="E217" t="s">
        <v>116</v>
      </c>
      <c r="F217" t="s">
        <v>117</v>
      </c>
      <c r="G217" t="s">
        <v>118</v>
      </c>
      <c r="H217" t="s">
        <v>119</v>
      </c>
      <c r="I217" t="s">
        <v>31</v>
      </c>
      <c r="J217">
        <v>303</v>
      </c>
      <c r="K217" t="s">
        <v>120</v>
      </c>
      <c r="N217">
        <v>10</v>
      </c>
      <c r="O217">
        <v>0.39960000000000001</v>
      </c>
      <c r="P217" t="s">
        <v>38</v>
      </c>
      <c r="Q217">
        <v>1</v>
      </c>
      <c r="R217" t="s">
        <v>1272</v>
      </c>
      <c r="S217" t="s">
        <v>1314</v>
      </c>
    </row>
    <row r="218" spans="1:19" hidden="1" x14ac:dyDescent="0.3">
      <c r="A218" t="s">
        <v>517</v>
      </c>
      <c r="B218" t="s">
        <v>518</v>
      </c>
      <c r="C218" t="s">
        <v>5</v>
      </c>
      <c r="D218">
        <v>9821</v>
      </c>
      <c r="E218" t="s">
        <v>21</v>
      </c>
      <c r="F218" t="s">
        <v>22</v>
      </c>
      <c r="G218" t="s">
        <v>23</v>
      </c>
      <c r="H218" t="s">
        <v>24</v>
      </c>
      <c r="I218" t="s">
        <v>25</v>
      </c>
      <c r="J218">
        <v>998</v>
      </c>
      <c r="K218" t="s">
        <v>26</v>
      </c>
      <c r="N218">
        <v>1</v>
      </c>
      <c r="O218">
        <v>0.41189999999999999</v>
      </c>
      <c r="P218" t="s">
        <v>38</v>
      </c>
      <c r="Q218">
        <v>0</v>
      </c>
      <c r="R218" t="s">
        <v>1272</v>
      </c>
      <c r="S218" t="s">
        <v>1316</v>
      </c>
    </row>
    <row r="219" spans="1:19" hidden="1" x14ac:dyDescent="0.3">
      <c r="A219" t="s">
        <v>517</v>
      </c>
      <c r="B219" t="s">
        <v>518</v>
      </c>
      <c r="C219" t="s">
        <v>5</v>
      </c>
      <c r="D219">
        <v>15045</v>
      </c>
      <c r="E219" t="s">
        <v>519</v>
      </c>
      <c r="F219" t="s">
        <v>60</v>
      </c>
      <c r="G219" t="s">
        <v>520</v>
      </c>
      <c r="H219" t="s">
        <v>521</v>
      </c>
      <c r="I219" t="s">
        <v>352</v>
      </c>
      <c r="J219">
        <v>1756</v>
      </c>
      <c r="K219" t="s">
        <v>522</v>
      </c>
      <c r="L219">
        <v>1</v>
      </c>
      <c r="M219">
        <v>8.9636999999999993</v>
      </c>
      <c r="P219" t="s">
        <v>33</v>
      </c>
      <c r="Q219">
        <v>1</v>
      </c>
      <c r="R219" t="s">
        <v>1272</v>
      </c>
      <c r="S219" t="s">
        <v>1314</v>
      </c>
    </row>
    <row r="220" spans="1:19" hidden="1" x14ac:dyDescent="0.3">
      <c r="A220" t="s">
        <v>517</v>
      </c>
      <c r="B220" t="s">
        <v>518</v>
      </c>
      <c r="C220" t="s">
        <v>5</v>
      </c>
      <c r="D220">
        <v>109</v>
      </c>
      <c r="E220" t="s">
        <v>523</v>
      </c>
      <c r="F220" t="s">
        <v>524</v>
      </c>
      <c r="G220" t="s">
        <v>525</v>
      </c>
      <c r="H220" t="s">
        <v>526</v>
      </c>
      <c r="I220" t="s">
        <v>25</v>
      </c>
      <c r="J220">
        <v>411</v>
      </c>
      <c r="K220" t="s">
        <v>527</v>
      </c>
      <c r="L220">
        <v>2</v>
      </c>
      <c r="M220">
        <v>8.8809000000000005</v>
      </c>
      <c r="P220" t="s">
        <v>33</v>
      </c>
      <c r="Q220">
        <v>2</v>
      </c>
      <c r="R220" t="s">
        <v>1272</v>
      </c>
      <c r="S220" t="s">
        <v>1280</v>
      </c>
    </row>
    <row r="221" spans="1:19" hidden="1" x14ac:dyDescent="0.3">
      <c r="A221" t="s">
        <v>517</v>
      </c>
      <c r="B221" t="s">
        <v>518</v>
      </c>
      <c r="C221" t="s">
        <v>5</v>
      </c>
      <c r="D221">
        <v>4646</v>
      </c>
      <c r="E221" t="s">
        <v>528</v>
      </c>
      <c r="F221" t="s">
        <v>60</v>
      </c>
      <c r="G221" t="s">
        <v>529</v>
      </c>
      <c r="H221" t="s">
        <v>530</v>
      </c>
      <c r="I221" t="s">
        <v>25</v>
      </c>
      <c r="J221">
        <v>734</v>
      </c>
      <c r="K221" t="s">
        <v>531</v>
      </c>
      <c r="L221">
        <v>5</v>
      </c>
      <c r="M221">
        <v>8.0449999999999999</v>
      </c>
      <c r="N221">
        <v>2</v>
      </c>
      <c r="O221">
        <v>0.40810000000000002</v>
      </c>
      <c r="P221" t="s">
        <v>27</v>
      </c>
      <c r="Q221">
        <v>1</v>
      </c>
      <c r="R221" t="s">
        <v>1272</v>
      </c>
      <c r="S221" t="s">
        <v>1317</v>
      </c>
    </row>
    <row r="222" spans="1:19" hidden="1" x14ac:dyDescent="0.3">
      <c r="A222" t="s">
        <v>517</v>
      </c>
      <c r="B222" t="s">
        <v>518</v>
      </c>
      <c r="C222" t="s">
        <v>5</v>
      </c>
      <c r="D222">
        <v>19433</v>
      </c>
      <c r="E222" t="s">
        <v>532</v>
      </c>
      <c r="F222" t="s">
        <v>60</v>
      </c>
      <c r="G222" t="s">
        <v>533</v>
      </c>
      <c r="H222" t="s">
        <v>534</v>
      </c>
      <c r="I222" t="s">
        <v>31</v>
      </c>
      <c r="J222">
        <v>262</v>
      </c>
      <c r="K222" t="s">
        <v>535</v>
      </c>
      <c r="L222">
        <v>7</v>
      </c>
      <c r="M222">
        <v>7.7660999999999998</v>
      </c>
      <c r="N222">
        <v>3</v>
      </c>
      <c r="O222">
        <v>0.4047</v>
      </c>
      <c r="P222" t="s">
        <v>27</v>
      </c>
      <c r="Q222">
        <v>1</v>
      </c>
      <c r="R222" t="s">
        <v>1272</v>
      </c>
      <c r="S222" t="s">
        <v>1317</v>
      </c>
    </row>
    <row r="223" spans="1:19" hidden="1" x14ac:dyDescent="0.3">
      <c r="A223" t="s">
        <v>517</v>
      </c>
      <c r="B223" t="s">
        <v>518</v>
      </c>
      <c r="C223" t="s">
        <v>5</v>
      </c>
      <c r="D223">
        <v>20663</v>
      </c>
      <c r="E223" t="s">
        <v>536</v>
      </c>
      <c r="F223" t="s">
        <v>60</v>
      </c>
      <c r="G223" t="s">
        <v>537</v>
      </c>
      <c r="H223" t="s">
        <v>538</v>
      </c>
      <c r="I223" t="s">
        <v>25</v>
      </c>
      <c r="J223">
        <v>941</v>
      </c>
      <c r="K223" t="s">
        <v>539</v>
      </c>
      <c r="L223">
        <v>3</v>
      </c>
      <c r="M223">
        <v>8.3363999999999994</v>
      </c>
      <c r="P223" t="s">
        <v>33</v>
      </c>
      <c r="Q223">
        <v>1</v>
      </c>
      <c r="R223" t="s">
        <v>1272</v>
      </c>
      <c r="S223" t="s">
        <v>1317</v>
      </c>
    </row>
    <row r="224" spans="1:19" hidden="1" x14ac:dyDescent="0.3">
      <c r="A224" t="s">
        <v>517</v>
      </c>
      <c r="B224" t="s">
        <v>518</v>
      </c>
      <c r="C224" t="s">
        <v>5</v>
      </c>
      <c r="D224">
        <v>13606</v>
      </c>
      <c r="E224" t="s">
        <v>540</v>
      </c>
      <c r="F224" t="s">
        <v>22</v>
      </c>
      <c r="G224" t="s">
        <v>541</v>
      </c>
      <c r="H224" t="s">
        <v>542</v>
      </c>
      <c r="I224" t="s">
        <v>31</v>
      </c>
      <c r="J224">
        <v>1061</v>
      </c>
      <c r="K224" t="s">
        <v>543</v>
      </c>
      <c r="L224">
        <v>4</v>
      </c>
      <c r="M224">
        <v>8.0557999999999996</v>
      </c>
      <c r="P224" t="s">
        <v>33</v>
      </c>
      <c r="Q224">
        <v>1</v>
      </c>
      <c r="R224" t="s">
        <v>1272</v>
      </c>
      <c r="S224" t="s">
        <v>1313</v>
      </c>
    </row>
    <row r="225" spans="1:19" hidden="1" x14ac:dyDescent="0.3">
      <c r="A225" t="s">
        <v>517</v>
      </c>
      <c r="B225" t="s">
        <v>518</v>
      </c>
      <c r="C225" t="s">
        <v>5</v>
      </c>
      <c r="D225">
        <v>18885</v>
      </c>
      <c r="E225" t="s">
        <v>86</v>
      </c>
      <c r="F225" t="s">
        <v>60</v>
      </c>
      <c r="G225" t="s">
        <v>87</v>
      </c>
      <c r="H225" t="s">
        <v>88</v>
      </c>
      <c r="I225" t="s">
        <v>31</v>
      </c>
      <c r="J225">
        <v>596</v>
      </c>
      <c r="K225" t="s">
        <v>89</v>
      </c>
      <c r="N225">
        <v>4</v>
      </c>
      <c r="O225">
        <v>0.39600000000000002</v>
      </c>
      <c r="P225" t="s">
        <v>38</v>
      </c>
      <c r="Q225">
        <v>0</v>
      </c>
      <c r="R225" t="s">
        <v>1272</v>
      </c>
      <c r="S225" t="s">
        <v>1295</v>
      </c>
    </row>
    <row r="226" spans="1:19" hidden="1" x14ac:dyDescent="0.3">
      <c r="A226" t="s">
        <v>517</v>
      </c>
      <c r="B226" t="s">
        <v>518</v>
      </c>
      <c r="C226" t="s">
        <v>5</v>
      </c>
      <c r="D226">
        <v>19676</v>
      </c>
      <c r="E226" t="s">
        <v>544</v>
      </c>
      <c r="F226" t="s">
        <v>545</v>
      </c>
      <c r="G226" t="s">
        <v>41</v>
      </c>
      <c r="H226" t="s">
        <v>546</v>
      </c>
      <c r="I226" t="s">
        <v>25</v>
      </c>
      <c r="J226">
        <v>907</v>
      </c>
      <c r="K226" t="s">
        <v>547</v>
      </c>
      <c r="N226">
        <v>5</v>
      </c>
      <c r="O226">
        <v>0.39100000000000001</v>
      </c>
      <c r="P226" t="s">
        <v>38</v>
      </c>
      <c r="Q226">
        <v>2</v>
      </c>
      <c r="R226" t="s">
        <v>1272</v>
      </c>
      <c r="S226" t="s">
        <v>1280</v>
      </c>
    </row>
    <row r="227" spans="1:19" hidden="1" x14ac:dyDescent="0.3">
      <c r="A227" t="s">
        <v>517</v>
      </c>
      <c r="B227" t="s">
        <v>518</v>
      </c>
      <c r="C227" t="s">
        <v>5</v>
      </c>
      <c r="D227">
        <v>13623</v>
      </c>
      <c r="E227" t="s">
        <v>548</v>
      </c>
      <c r="F227" t="s">
        <v>60</v>
      </c>
      <c r="G227" t="s">
        <v>318</v>
      </c>
      <c r="H227" t="s">
        <v>549</v>
      </c>
      <c r="I227" t="s">
        <v>31</v>
      </c>
      <c r="J227">
        <v>509</v>
      </c>
      <c r="K227" t="s">
        <v>550</v>
      </c>
      <c r="L227">
        <v>6</v>
      </c>
      <c r="M227">
        <v>7.7710999999999997</v>
      </c>
      <c r="P227" t="s">
        <v>33</v>
      </c>
      <c r="Q227">
        <v>1</v>
      </c>
      <c r="R227" t="s">
        <v>1272</v>
      </c>
      <c r="S227" t="s">
        <v>1317</v>
      </c>
    </row>
    <row r="228" spans="1:19" hidden="1" x14ac:dyDescent="0.3">
      <c r="A228" t="s">
        <v>517</v>
      </c>
      <c r="B228" t="s">
        <v>518</v>
      </c>
      <c r="C228" t="s">
        <v>5</v>
      </c>
      <c r="D228">
        <v>15093</v>
      </c>
      <c r="E228" t="s">
        <v>452</v>
      </c>
      <c r="F228" t="s">
        <v>60</v>
      </c>
      <c r="G228" t="s">
        <v>453</v>
      </c>
      <c r="H228" t="s">
        <v>454</v>
      </c>
      <c r="I228" t="s">
        <v>31</v>
      </c>
      <c r="J228">
        <v>892</v>
      </c>
      <c r="K228" t="s">
        <v>455</v>
      </c>
      <c r="N228">
        <v>6</v>
      </c>
      <c r="O228">
        <v>0.38829999999999998</v>
      </c>
      <c r="P228" t="s">
        <v>38</v>
      </c>
      <c r="Q228">
        <v>0</v>
      </c>
      <c r="R228" t="s">
        <v>1272</v>
      </c>
      <c r="S228" t="s">
        <v>1295</v>
      </c>
    </row>
    <row r="229" spans="1:19" hidden="1" x14ac:dyDescent="0.3">
      <c r="A229" t="s">
        <v>517</v>
      </c>
      <c r="B229" t="s">
        <v>518</v>
      </c>
      <c r="C229" t="s">
        <v>5</v>
      </c>
      <c r="D229">
        <v>13481</v>
      </c>
      <c r="E229" t="s">
        <v>270</v>
      </c>
      <c r="F229" t="s">
        <v>55</v>
      </c>
      <c r="G229" t="s">
        <v>271</v>
      </c>
      <c r="H229" t="s">
        <v>272</v>
      </c>
      <c r="I229" t="s">
        <v>31</v>
      </c>
      <c r="J229">
        <v>690</v>
      </c>
      <c r="K229" t="s">
        <v>273</v>
      </c>
      <c r="N229">
        <v>7</v>
      </c>
      <c r="O229">
        <v>0.38719999999999999</v>
      </c>
      <c r="P229" t="s">
        <v>38</v>
      </c>
      <c r="Q229">
        <v>0</v>
      </c>
      <c r="R229" t="s">
        <v>1272</v>
      </c>
      <c r="S229" t="s">
        <v>1295</v>
      </c>
    </row>
    <row r="230" spans="1:19" hidden="1" x14ac:dyDescent="0.3">
      <c r="A230" t="s">
        <v>517</v>
      </c>
      <c r="B230" t="s">
        <v>518</v>
      </c>
      <c r="C230" t="s">
        <v>5</v>
      </c>
      <c r="D230">
        <v>19064</v>
      </c>
      <c r="E230" t="s">
        <v>551</v>
      </c>
      <c r="F230" t="s">
        <v>552</v>
      </c>
      <c r="G230" t="s">
        <v>405</v>
      </c>
      <c r="H230" t="s">
        <v>553</v>
      </c>
      <c r="I230" t="s">
        <v>31</v>
      </c>
      <c r="J230">
        <v>1167</v>
      </c>
      <c r="K230" t="s">
        <v>554</v>
      </c>
      <c r="N230">
        <v>8</v>
      </c>
      <c r="O230">
        <v>0.3871</v>
      </c>
      <c r="P230" t="s">
        <v>38</v>
      </c>
      <c r="Q230">
        <v>2</v>
      </c>
      <c r="R230" t="s">
        <v>1272</v>
      </c>
      <c r="S230" t="s">
        <v>1280</v>
      </c>
    </row>
    <row r="231" spans="1:19" hidden="1" x14ac:dyDescent="0.3">
      <c r="A231" t="s">
        <v>517</v>
      </c>
      <c r="B231" t="s">
        <v>518</v>
      </c>
      <c r="C231" t="s">
        <v>5</v>
      </c>
      <c r="D231">
        <v>20734</v>
      </c>
      <c r="E231" t="s">
        <v>555</v>
      </c>
      <c r="F231" t="s">
        <v>556</v>
      </c>
      <c r="G231" t="s">
        <v>557</v>
      </c>
      <c r="H231" t="s">
        <v>558</v>
      </c>
      <c r="I231" t="s">
        <v>25</v>
      </c>
      <c r="J231">
        <v>509</v>
      </c>
      <c r="K231" t="s">
        <v>559</v>
      </c>
      <c r="L231">
        <v>8</v>
      </c>
      <c r="M231">
        <v>6.8711000000000002</v>
      </c>
      <c r="P231" t="s">
        <v>33</v>
      </c>
      <c r="Q231">
        <v>2</v>
      </c>
      <c r="R231" t="s">
        <v>1272</v>
      </c>
      <c r="S231" t="s">
        <v>1280</v>
      </c>
    </row>
    <row r="232" spans="1:19" hidden="1" x14ac:dyDescent="0.3">
      <c r="A232" t="s">
        <v>517</v>
      </c>
      <c r="B232" t="s">
        <v>518</v>
      </c>
      <c r="C232" t="s">
        <v>5</v>
      </c>
      <c r="D232">
        <v>16145</v>
      </c>
      <c r="E232" t="s">
        <v>182</v>
      </c>
      <c r="F232" t="s">
        <v>155</v>
      </c>
      <c r="G232" t="s">
        <v>183</v>
      </c>
      <c r="H232" t="s">
        <v>184</v>
      </c>
      <c r="I232" t="s">
        <v>31</v>
      </c>
      <c r="J232">
        <v>2447</v>
      </c>
      <c r="K232" t="s">
        <v>185</v>
      </c>
      <c r="L232">
        <v>9</v>
      </c>
      <c r="M232">
        <v>6.4168000000000003</v>
      </c>
      <c r="N232">
        <v>9</v>
      </c>
      <c r="O232">
        <v>0.38690000000000002</v>
      </c>
      <c r="P232" t="s">
        <v>27</v>
      </c>
      <c r="Q232">
        <v>1</v>
      </c>
      <c r="R232" t="s">
        <v>1272</v>
      </c>
      <c r="S232" t="s">
        <v>1314</v>
      </c>
    </row>
    <row r="233" spans="1:19" hidden="1" x14ac:dyDescent="0.3">
      <c r="A233" t="s">
        <v>517</v>
      </c>
      <c r="B233" t="s">
        <v>518</v>
      </c>
      <c r="C233" t="s">
        <v>5</v>
      </c>
      <c r="D233">
        <v>2818</v>
      </c>
      <c r="E233" t="s">
        <v>560</v>
      </c>
      <c r="F233" t="s">
        <v>22</v>
      </c>
      <c r="G233" t="s">
        <v>438</v>
      </c>
      <c r="H233" t="s">
        <v>561</v>
      </c>
      <c r="I233" t="s">
        <v>31</v>
      </c>
      <c r="J233">
        <v>2307</v>
      </c>
      <c r="K233" t="s">
        <v>562</v>
      </c>
      <c r="N233">
        <v>10</v>
      </c>
      <c r="O233">
        <v>0.38540000000000002</v>
      </c>
      <c r="P233" t="s">
        <v>38</v>
      </c>
      <c r="Q233">
        <v>1</v>
      </c>
      <c r="R233" t="s">
        <v>1272</v>
      </c>
      <c r="S233" t="s">
        <v>1314</v>
      </c>
    </row>
    <row r="234" spans="1:19" hidden="1" x14ac:dyDescent="0.3">
      <c r="A234" t="s">
        <v>517</v>
      </c>
      <c r="B234" t="s">
        <v>518</v>
      </c>
      <c r="C234" t="s">
        <v>5</v>
      </c>
      <c r="D234">
        <v>17785</v>
      </c>
      <c r="E234" t="s">
        <v>159</v>
      </c>
      <c r="F234" t="s">
        <v>160</v>
      </c>
      <c r="G234" t="s">
        <v>161</v>
      </c>
      <c r="H234" t="s">
        <v>162</v>
      </c>
      <c r="I234" t="s">
        <v>25</v>
      </c>
      <c r="J234">
        <v>935</v>
      </c>
      <c r="K234" t="s">
        <v>163</v>
      </c>
      <c r="L234">
        <v>10</v>
      </c>
      <c r="M234">
        <v>6.3650000000000002</v>
      </c>
      <c r="P234" t="s">
        <v>33</v>
      </c>
      <c r="Q234">
        <v>0</v>
      </c>
      <c r="R234" t="s">
        <v>1272</v>
      </c>
      <c r="S234" t="s">
        <v>1316</v>
      </c>
    </row>
    <row r="235" spans="1:19" hidden="1" x14ac:dyDescent="0.3">
      <c r="A235" t="s">
        <v>563</v>
      </c>
      <c r="B235" t="s">
        <v>564</v>
      </c>
      <c r="C235" t="s">
        <v>5</v>
      </c>
      <c r="D235">
        <v>9821</v>
      </c>
      <c r="E235" t="s">
        <v>21</v>
      </c>
      <c r="F235" t="s">
        <v>22</v>
      </c>
      <c r="G235" t="s">
        <v>23</v>
      </c>
      <c r="H235" t="s">
        <v>24</v>
      </c>
      <c r="I235" t="s">
        <v>25</v>
      </c>
      <c r="J235">
        <v>998</v>
      </c>
      <c r="K235" t="s">
        <v>26</v>
      </c>
      <c r="N235">
        <v>1</v>
      </c>
      <c r="O235">
        <v>0.41810000000000003</v>
      </c>
      <c r="P235" t="s">
        <v>38</v>
      </c>
      <c r="Q235">
        <v>1</v>
      </c>
      <c r="R235" t="s">
        <v>1272</v>
      </c>
      <c r="S235" t="s">
        <v>1317</v>
      </c>
    </row>
    <row r="236" spans="1:19" hidden="1" x14ac:dyDescent="0.3">
      <c r="A236" t="s">
        <v>563</v>
      </c>
      <c r="B236" t="s">
        <v>564</v>
      </c>
      <c r="C236" t="s">
        <v>5</v>
      </c>
      <c r="D236">
        <v>19317</v>
      </c>
      <c r="E236" t="s">
        <v>44</v>
      </c>
      <c r="F236" t="s">
        <v>45</v>
      </c>
      <c r="G236" t="s">
        <v>46</v>
      </c>
      <c r="H236" t="s">
        <v>47</v>
      </c>
      <c r="I236" t="s">
        <v>31</v>
      </c>
      <c r="J236">
        <v>4168</v>
      </c>
      <c r="K236" t="s">
        <v>48</v>
      </c>
      <c r="L236">
        <v>1</v>
      </c>
      <c r="M236">
        <v>7.5598000000000001</v>
      </c>
      <c r="N236">
        <v>3</v>
      </c>
      <c r="O236">
        <v>0.41370000000000001</v>
      </c>
      <c r="P236" t="s">
        <v>27</v>
      </c>
      <c r="Q236">
        <v>2</v>
      </c>
      <c r="R236" t="s">
        <v>1272</v>
      </c>
      <c r="S236" t="s">
        <v>1280</v>
      </c>
    </row>
    <row r="237" spans="1:19" hidden="1" x14ac:dyDescent="0.3">
      <c r="A237" t="s">
        <v>563</v>
      </c>
      <c r="B237" t="s">
        <v>564</v>
      </c>
      <c r="C237" t="s">
        <v>5</v>
      </c>
      <c r="D237">
        <v>10538</v>
      </c>
      <c r="E237" t="s">
        <v>565</v>
      </c>
      <c r="F237" t="s">
        <v>22</v>
      </c>
      <c r="G237" t="s">
        <v>566</v>
      </c>
      <c r="H237" t="s">
        <v>567</v>
      </c>
      <c r="I237" t="s">
        <v>25</v>
      </c>
      <c r="J237">
        <v>1456</v>
      </c>
      <c r="K237" t="s">
        <v>568</v>
      </c>
      <c r="N237">
        <v>2</v>
      </c>
      <c r="O237">
        <v>0.41570000000000001</v>
      </c>
      <c r="P237" t="s">
        <v>38</v>
      </c>
      <c r="Q237">
        <v>0</v>
      </c>
      <c r="R237" t="s">
        <v>1272</v>
      </c>
      <c r="S237" t="s">
        <v>1274</v>
      </c>
    </row>
    <row r="238" spans="1:19" hidden="1" x14ac:dyDescent="0.3">
      <c r="A238" t="s">
        <v>563</v>
      </c>
      <c r="B238" t="s">
        <v>564</v>
      </c>
      <c r="C238" t="s">
        <v>5</v>
      </c>
      <c r="D238">
        <v>10730</v>
      </c>
      <c r="E238" t="s">
        <v>317</v>
      </c>
      <c r="F238" t="s">
        <v>60</v>
      </c>
      <c r="G238" t="s">
        <v>318</v>
      </c>
      <c r="H238" t="s">
        <v>319</v>
      </c>
      <c r="I238" t="s">
        <v>25</v>
      </c>
      <c r="J238">
        <v>800</v>
      </c>
      <c r="K238" t="s">
        <v>320</v>
      </c>
      <c r="L238">
        <v>2</v>
      </c>
      <c r="M238">
        <v>6.6622000000000003</v>
      </c>
      <c r="P238" t="s">
        <v>33</v>
      </c>
      <c r="Q238">
        <v>0</v>
      </c>
      <c r="R238" t="s">
        <v>1272</v>
      </c>
      <c r="S238" t="s">
        <v>1274</v>
      </c>
    </row>
    <row r="239" spans="1:19" hidden="1" x14ac:dyDescent="0.3">
      <c r="A239" t="s">
        <v>563</v>
      </c>
      <c r="B239" t="s">
        <v>564</v>
      </c>
      <c r="C239" t="s">
        <v>5</v>
      </c>
      <c r="D239">
        <v>14198</v>
      </c>
      <c r="E239" t="s">
        <v>73</v>
      </c>
      <c r="F239" t="s">
        <v>74</v>
      </c>
      <c r="G239" t="s">
        <v>75</v>
      </c>
      <c r="H239" t="s">
        <v>76</v>
      </c>
      <c r="I239" t="s">
        <v>31</v>
      </c>
      <c r="J239">
        <v>377</v>
      </c>
      <c r="K239" t="s">
        <v>77</v>
      </c>
      <c r="L239">
        <v>3</v>
      </c>
      <c r="M239">
        <v>6.3357999999999999</v>
      </c>
      <c r="P239" t="s">
        <v>33</v>
      </c>
      <c r="Q239">
        <v>0</v>
      </c>
      <c r="R239" t="s">
        <v>1272</v>
      </c>
      <c r="S239" t="s">
        <v>1280</v>
      </c>
    </row>
    <row r="240" spans="1:19" hidden="1" x14ac:dyDescent="0.3">
      <c r="A240" t="s">
        <v>563</v>
      </c>
      <c r="B240" t="s">
        <v>564</v>
      </c>
      <c r="C240" t="s">
        <v>5</v>
      </c>
      <c r="D240">
        <v>12265</v>
      </c>
      <c r="E240" t="s">
        <v>569</v>
      </c>
      <c r="F240" t="s">
        <v>570</v>
      </c>
      <c r="G240" t="s">
        <v>571</v>
      </c>
      <c r="H240" t="s">
        <v>572</v>
      </c>
      <c r="I240" t="s">
        <v>31</v>
      </c>
      <c r="J240">
        <v>227</v>
      </c>
      <c r="K240" t="s">
        <v>573</v>
      </c>
      <c r="L240">
        <v>4</v>
      </c>
      <c r="M240">
        <v>5.9627999999999997</v>
      </c>
      <c r="P240" t="s">
        <v>33</v>
      </c>
      <c r="Q240">
        <v>2</v>
      </c>
      <c r="R240" t="s">
        <v>1272</v>
      </c>
      <c r="S240" t="s">
        <v>1280</v>
      </c>
    </row>
    <row r="241" spans="1:19" hidden="1" x14ac:dyDescent="0.3">
      <c r="A241" t="s">
        <v>563</v>
      </c>
      <c r="B241" t="s">
        <v>564</v>
      </c>
      <c r="C241" t="s">
        <v>5</v>
      </c>
      <c r="D241">
        <v>20259</v>
      </c>
      <c r="E241" t="s">
        <v>49</v>
      </c>
      <c r="F241" t="s">
        <v>50</v>
      </c>
      <c r="G241" t="s">
        <v>51</v>
      </c>
      <c r="H241" t="s">
        <v>52</v>
      </c>
      <c r="I241" t="s">
        <v>25</v>
      </c>
      <c r="J241">
        <v>313</v>
      </c>
      <c r="K241" t="s">
        <v>53</v>
      </c>
      <c r="N241">
        <v>4</v>
      </c>
      <c r="O241">
        <v>0.3972</v>
      </c>
      <c r="P241" t="s">
        <v>38</v>
      </c>
      <c r="Q241">
        <v>1</v>
      </c>
      <c r="R241" t="s">
        <v>1272</v>
      </c>
      <c r="S241" t="s">
        <v>1298</v>
      </c>
    </row>
    <row r="242" spans="1:19" hidden="1" x14ac:dyDescent="0.3">
      <c r="A242" t="s">
        <v>563</v>
      </c>
      <c r="B242" t="s">
        <v>564</v>
      </c>
      <c r="C242" t="s">
        <v>5</v>
      </c>
      <c r="D242">
        <v>18937</v>
      </c>
      <c r="E242" t="s">
        <v>68</v>
      </c>
      <c r="F242" t="s">
        <v>69</v>
      </c>
      <c r="G242" t="s">
        <v>70</v>
      </c>
      <c r="H242" t="s">
        <v>71</v>
      </c>
      <c r="I242" t="s">
        <v>31</v>
      </c>
      <c r="J242">
        <v>3317</v>
      </c>
      <c r="K242" t="s">
        <v>72</v>
      </c>
      <c r="L242">
        <v>5</v>
      </c>
      <c r="M242">
        <v>5.3701999999999996</v>
      </c>
      <c r="P242" t="s">
        <v>33</v>
      </c>
      <c r="Q242">
        <v>1</v>
      </c>
      <c r="R242" t="s">
        <v>1272</v>
      </c>
      <c r="S242" t="s">
        <v>1298</v>
      </c>
    </row>
    <row r="243" spans="1:19" hidden="1" x14ac:dyDescent="0.3">
      <c r="A243" t="s">
        <v>563</v>
      </c>
      <c r="B243" t="s">
        <v>564</v>
      </c>
      <c r="C243" t="s">
        <v>5</v>
      </c>
      <c r="D243">
        <v>20481</v>
      </c>
      <c r="E243" t="s">
        <v>574</v>
      </c>
      <c r="F243" t="s">
        <v>575</v>
      </c>
      <c r="G243" t="s">
        <v>41</v>
      </c>
      <c r="H243" t="s">
        <v>576</v>
      </c>
      <c r="I243" t="s">
        <v>25</v>
      </c>
      <c r="J243">
        <v>1141</v>
      </c>
      <c r="K243" t="s">
        <v>577</v>
      </c>
      <c r="L243">
        <v>6</v>
      </c>
      <c r="M243">
        <v>5.3064999999999998</v>
      </c>
      <c r="N243">
        <v>5</v>
      </c>
      <c r="O243">
        <v>0.39029999999999998</v>
      </c>
      <c r="P243" t="s">
        <v>27</v>
      </c>
      <c r="Q243">
        <v>2</v>
      </c>
      <c r="R243" t="s">
        <v>1272</v>
      </c>
      <c r="S243" t="s">
        <v>1280</v>
      </c>
    </row>
    <row r="244" spans="1:19" hidden="1" x14ac:dyDescent="0.3">
      <c r="A244" t="s">
        <v>563</v>
      </c>
      <c r="B244" t="s">
        <v>564</v>
      </c>
      <c r="C244" t="s">
        <v>5</v>
      </c>
      <c r="D244">
        <v>17365</v>
      </c>
      <c r="E244" t="s">
        <v>578</v>
      </c>
      <c r="F244" t="s">
        <v>60</v>
      </c>
      <c r="G244" t="s">
        <v>579</v>
      </c>
      <c r="H244" t="s">
        <v>580</v>
      </c>
      <c r="I244" t="s">
        <v>31</v>
      </c>
      <c r="J244">
        <v>1906</v>
      </c>
      <c r="K244" t="s">
        <v>581</v>
      </c>
      <c r="N244">
        <v>6</v>
      </c>
      <c r="O244">
        <v>0.39029999999999998</v>
      </c>
      <c r="P244" t="s">
        <v>38</v>
      </c>
      <c r="Q244">
        <v>1</v>
      </c>
      <c r="R244" t="s">
        <v>1272</v>
      </c>
      <c r="S244" t="s">
        <v>1318</v>
      </c>
    </row>
    <row r="245" spans="1:19" hidden="1" x14ac:dyDescent="0.3">
      <c r="A245" t="s">
        <v>563</v>
      </c>
      <c r="B245" t="s">
        <v>564</v>
      </c>
      <c r="C245" t="s">
        <v>5</v>
      </c>
      <c r="D245">
        <v>19064</v>
      </c>
      <c r="E245" t="s">
        <v>551</v>
      </c>
      <c r="F245" t="s">
        <v>552</v>
      </c>
      <c r="G245" t="s">
        <v>405</v>
      </c>
      <c r="H245" t="s">
        <v>553</v>
      </c>
      <c r="I245" t="s">
        <v>31</v>
      </c>
      <c r="J245">
        <v>1167</v>
      </c>
      <c r="K245" t="s">
        <v>554</v>
      </c>
      <c r="L245">
        <v>7</v>
      </c>
      <c r="M245">
        <v>5.0237999999999996</v>
      </c>
      <c r="P245" t="s">
        <v>33</v>
      </c>
      <c r="Q245">
        <v>2</v>
      </c>
      <c r="R245" t="s">
        <v>1272</v>
      </c>
      <c r="S245" t="s">
        <v>1280</v>
      </c>
    </row>
    <row r="246" spans="1:19" hidden="1" x14ac:dyDescent="0.3">
      <c r="A246" t="s">
        <v>563</v>
      </c>
      <c r="B246" t="s">
        <v>564</v>
      </c>
      <c r="C246" t="s">
        <v>5</v>
      </c>
      <c r="D246">
        <v>20775</v>
      </c>
      <c r="E246" t="s">
        <v>368</v>
      </c>
      <c r="F246" t="s">
        <v>369</v>
      </c>
      <c r="G246" t="s">
        <v>41</v>
      </c>
      <c r="H246" t="s">
        <v>370</v>
      </c>
      <c r="I246" t="s">
        <v>25</v>
      </c>
      <c r="J246">
        <v>912</v>
      </c>
      <c r="K246" t="s">
        <v>371</v>
      </c>
      <c r="N246">
        <v>7</v>
      </c>
      <c r="O246">
        <v>0.3826</v>
      </c>
      <c r="P246" t="s">
        <v>38</v>
      </c>
      <c r="Q246">
        <v>1</v>
      </c>
      <c r="R246" t="s">
        <v>1272</v>
      </c>
      <c r="S246" t="s">
        <v>1298</v>
      </c>
    </row>
    <row r="247" spans="1:19" hidden="1" x14ac:dyDescent="0.3">
      <c r="A247" t="s">
        <v>563</v>
      </c>
      <c r="B247" t="s">
        <v>564</v>
      </c>
      <c r="C247" t="s">
        <v>5</v>
      </c>
      <c r="D247">
        <v>2021</v>
      </c>
      <c r="E247" t="s">
        <v>582</v>
      </c>
      <c r="F247" t="s">
        <v>570</v>
      </c>
      <c r="G247" t="s">
        <v>583</v>
      </c>
      <c r="H247" t="s">
        <v>584</v>
      </c>
      <c r="I247" t="s">
        <v>25</v>
      </c>
      <c r="J247">
        <v>226</v>
      </c>
      <c r="K247" t="s">
        <v>585</v>
      </c>
      <c r="L247">
        <v>8</v>
      </c>
      <c r="M247">
        <v>4.7140000000000004</v>
      </c>
      <c r="P247" t="s">
        <v>33</v>
      </c>
      <c r="Q247">
        <v>2</v>
      </c>
      <c r="R247" t="s">
        <v>1272</v>
      </c>
      <c r="S247" t="s">
        <v>1280</v>
      </c>
    </row>
    <row r="248" spans="1:19" hidden="1" x14ac:dyDescent="0.3">
      <c r="A248" t="s">
        <v>563</v>
      </c>
      <c r="B248" t="s">
        <v>564</v>
      </c>
      <c r="C248" t="s">
        <v>5</v>
      </c>
      <c r="D248">
        <v>13514</v>
      </c>
      <c r="E248" t="s">
        <v>64</v>
      </c>
      <c r="F248" t="s">
        <v>60</v>
      </c>
      <c r="G248" t="s">
        <v>65</v>
      </c>
      <c r="H248" t="s">
        <v>66</v>
      </c>
      <c r="I248" t="s">
        <v>31</v>
      </c>
      <c r="J248">
        <v>587</v>
      </c>
      <c r="K248" t="s">
        <v>67</v>
      </c>
      <c r="N248">
        <v>8</v>
      </c>
      <c r="O248">
        <v>0.3785</v>
      </c>
      <c r="P248" t="s">
        <v>38</v>
      </c>
      <c r="Q248">
        <v>0</v>
      </c>
      <c r="R248" t="s">
        <v>1272</v>
      </c>
      <c r="S248" t="s">
        <v>1319</v>
      </c>
    </row>
    <row r="249" spans="1:19" hidden="1" x14ac:dyDescent="0.3">
      <c r="A249" t="s">
        <v>563</v>
      </c>
      <c r="B249" t="s">
        <v>564</v>
      </c>
      <c r="C249" t="s">
        <v>5</v>
      </c>
      <c r="D249">
        <v>18885</v>
      </c>
      <c r="E249" t="s">
        <v>86</v>
      </c>
      <c r="F249" t="s">
        <v>60</v>
      </c>
      <c r="G249" t="s">
        <v>87</v>
      </c>
      <c r="H249" t="s">
        <v>88</v>
      </c>
      <c r="I249" t="s">
        <v>31</v>
      </c>
      <c r="J249">
        <v>596</v>
      </c>
      <c r="K249" t="s">
        <v>89</v>
      </c>
      <c r="N249">
        <v>9</v>
      </c>
      <c r="O249">
        <v>0.376</v>
      </c>
      <c r="P249" t="s">
        <v>38</v>
      </c>
      <c r="Q249">
        <v>0</v>
      </c>
      <c r="R249" t="s">
        <v>1272</v>
      </c>
      <c r="S249" t="s">
        <v>1319</v>
      </c>
    </row>
    <row r="250" spans="1:19" hidden="1" x14ac:dyDescent="0.3">
      <c r="A250" t="s">
        <v>563</v>
      </c>
      <c r="B250" t="s">
        <v>564</v>
      </c>
      <c r="C250" t="s">
        <v>5</v>
      </c>
      <c r="D250">
        <v>19982</v>
      </c>
      <c r="E250" t="s">
        <v>28</v>
      </c>
      <c r="F250" t="s">
        <v>22</v>
      </c>
      <c r="G250" t="s">
        <v>29</v>
      </c>
      <c r="H250" t="s">
        <v>30</v>
      </c>
      <c r="I250" t="s">
        <v>31</v>
      </c>
      <c r="J250">
        <v>543</v>
      </c>
      <c r="K250" t="s">
        <v>32</v>
      </c>
      <c r="L250">
        <v>9</v>
      </c>
      <c r="M250">
        <v>4.6558000000000002</v>
      </c>
      <c r="P250" t="s">
        <v>33</v>
      </c>
      <c r="Q250">
        <v>1</v>
      </c>
      <c r="R250" t="s">
        <v>1272</v>
      </c>
      <c r="S250" t="s">
        <v>1318</v>
      </c>
    </row>
    <row r="251" spans="1:19" hidden="1" x14ac:dyDescent="0.3">
      <c r="A251" t="s">
        <v>563</v>
      </c>
      <c r="B251" t="s">
        <v>564</v>
      </c>
      <c r="C251" t="s">
        <v>5</v>
      </c>
      <c r="D251">
        <v>18422</v>
      </c>
      <c r="E251" t="s">
        <v>301</v>
      </c>
      <c r="F251" t="s">
        <v>302</v>
      </c>
      <c r="G251" t="s">
        <v>303</v>
      </c>
      <c r="H251" t="s">
        <v>304</v>
      </c>
      <c r="I251" t="s">
        <v>31</v>
      </c>
      <c r="J251">
        <v>500</v>
      </c>
      <c r="K251" t="s">
        <v>305</v>
      </c>
      <c r="L251">
        <v>10</v>
      </c>
      <c r="M251">
        <v>4.6250999999999998</v>
      </c>
      <c r="P251" t="s">
        <v>33</v>
      </c>
      <c r="Q251">
        <v>2</v>
      </c>
      <c r="R251" t="s">
        <v>1272</v>
      </c>
      <c r="S251" t="s">
        <v>1280</v>
      </c>
    </row>
    <row r="252" spans="1:19" hidden="1" x14ac:dyDescent="0.3">
      <c r="A252" t="s">
        <v>563</v>
      </c>
      <c r="B252" t="s">
        <v>564</v>
      </c>
      <c r="C252" t="s">
        <v>5</v>
      </c>
      <c r="D252">
        <v>20773</v>
      </c>
      <c r="E252" t="s">
        <v>109</v>
      </c>
      <c r="F252" t="s">
        <v>60</v>
      </c>
      <c r="G252" t="s">
        <v>41</v>
      </c>
      <c r="H252" t="s">
        <v>110</v>
      </c>
      <c r="I252" t="s">
        <v>25</v>
      </c>
      <c r="J252">
        <v>1156</v>
      </c>
      <c r="K252" t="s">
        <v>111</v>
      </c>
      <c r="N252">
        <v>10</v>
      </c>
      <c r="O252">
        <v>0.37240000000000001</v>
      </c>
      <c r="P252" t="s">
        <v>38</v>
      </c>
      <c r="Q252">
        <v>1</v>
      </c>
      <c r="R252" t="s">
        <v>1272</v>
      </c>
      <c r="S252" t="s">
        <v>1320</v>
      </c>
    </row>
    <row r="253" spans="1:19" hidden="1" x14ac:dyDescent="0.3">
      <c r="A253" t="s">
        <v>586</v>
      </c>
      <c r="B253" t="s">
        <v>587</v>
      </c>
      <c r="C253" t="s">
        <v>5</v>
      </c>
      <c r="D253">
        <v>20259</v>
      </c>
      <c r="E253" t="s">
        <v>49</v>
      </c>
      <c r="F253" t="s">
        <v>50</v>
      </c>
      <c r="G253" t="s">
        <v>51</v>
      </c>
      <c r="H253" t="s">
        <v>52</v>
      </c>
      <c r="I253" t="s">
        <v>25</v>
      </c>
      <c r="J253">
        <v>313</v>
      </c>
      <c r="K253" t="s">
        <v>53</v>
      </c>
      <c r="L253">
        <v>10</v>
      </c>
      <c r="M253">
        <v>6.2423000000000002</v>
      </c>
      <c r="N253">
        <v>1</v>
      </c>
      <c r="O253">
        <v>0.4627</v>
      </c>
      <c r="P253" t="s">
        <v>27</v>
      </c>
      <c r="Q253">
        <v>2</v>
      </c>
      <c r="R253" t="s">
        <v>1272</v>
      </c>
      <c r="S253" t="s">
        <v>1280</v>
      </c>
    </row>
    <row r="254" spans="1:19" hidden="1" x14ac:dyDescent="0.3">
      <c r="A254" t="s">
        <v>586</v>
      </c>
      <c r="B254" t="s">
        <v>587</v>
      </c>
      <c r="C254" t="s">
        <v>5</v>
      </c>
      <c r="D254">
        <v>20789</v>
      </c>
      <c r="E254" t="s">
        <v>39</v>
      </c>
      <c r="F254" t="s">
        <v>40</v>
      </c>
      <c r="G254" t="s">
        <v>41</v>
      </c>
      <c r="H254" t="s">
        <v>42</v>
      </c>
      <c r="I254" t="s">
        <v>25</v>
      </c>
      <c r="J254">
        <v>810</v>
      </c>
      <c r="K254" t="s">
        <v>43</v>
      </c>
      <c r="L254">
        <v>1</v>
      </c>
      <c r="M254">
        <v>13.7829</v>
      </c>
      <c r="P254" t="s">
        <v>33</v>
      </c>
      <c r="Q254">
        <v>2</v>
      </c>
      <c r="R254" t="s">
        <v>1272</v>
      </c>
      <c r="S254" t="s">
        <v>1280</v>
      </c>
    </row>
    <row r="255" spans="1:19" hidden="1" x14ac:dyDescent="0.3">
      <c r="A255" t="s">
        <v>586</v>
      </c>
      <c r="B255" t="s">
        <v>587</v>
      </c>
      <c r="C255" t="s">
        <v>5</v>
      </c>
      <c r="D255">
        <v>19312</v>
      </c>
      <c r="E255" t="s">
        <v>321</v>
      </c>
      <c r="F255" t="s">
        <v>322</v>
      </c>
      <c r="G255" t="s">
        <v>323</v>
      </c>
      <c r="H255" t="s">
        <v>324</v>
      </c>
      <c r="I255" t="s">
        <v>31</v>
      </c>
      <c r="J255">
        <v>2453</v>
      </c>
      <c r="K255" t="s">
        <v>325</v>
      </c>
      <c r="L255">
        <v>2</v>
      </c>
      <c r="M255">
        <v>10.7552</v>
      </c>
      <c r="P255" t="s">
        <v>33</v>
      </c>
      <c r="Q255">
        <v>2</v>
      </c>
      <c r="R255" t="s">
        <v>1272</v>
      </c>
      <c r="S255" t="s">
        <v>1280</v>
      </c>
    </row>
    <row r="256" spans="1:19" hidden="1" x14ac:dyDescent="0.3">
      <c r="A256" t="s">
        <v>586</v>
      </c>
      <c r="B256" t="s">
        <v>587</v>
      </c>
      <c r="C256" t="s">
        <v>5</v>
      </c>
      <c r="D256">
        <v>19317</v>
      </c>
      <c r="E256" t="s">
        <v>44</v>
      </c>
      <c r="F256" t="s">
        <v>45</v>
      </c>
      <c r="G256" t="s">
        <v>46</v>
      </c>
      <c r="H256" t="s">
        <v>47</v>
      </c>
      <c r="I256" t="s">
        <v>31</v>
      </c>
      <c r="J256">
        <v>4168</v>
      </c>
      <c r="K256" t="s">
        <v>48</v>
      </c>
      <c r="L256">
        <v>4</v>
      </c>
      <c r="M256">
        <v>8.2622999999999998</v>
      </c>
      <c r="N256">
        <v>2</v>
      </c>
      <c r="O256">
        <v>0.45540000000000003</v>
      </c>
      <c r="P256" t="s">
        <v>27</v>
      </c>
      <c r="Q256">
        <v>2</v>
      </c>
      <c r="R256" t="s">
        <v>1272</v>
      </c>
      <c r="S256" t="s">
        <v>1280</v>
      </c>
    </row>
    <row r="257" spans="1:19" hidden="1" x14ac:dyDescent="0.3">
      <c r="A257" t="s">
        <v>586</v>
      </c>
      <c r="B257" t="s">
        <v>587</v>
      </c>
      <c r="C257" t="s">
        <v>5</v>
      </c>
      <c r="D257">
        <v>12737</v>
      </c>
      <c r="E257" t="s">
        <v>588</v>
      </c>
      <c r="F257" t="s">
        <v>22</v>
      </c>
      <c r="G257" t="s">
        <v>589</v>
      </c>
      <c r="H257" t="s">
        <v>590</v>
      </c>
      <c r="I257" t="s">
        <v>31</v>
      </c>
      <c r="J257">
        <v>1553</v>
      </c>
      <c r="K257" t="s">
        <v>591</v>
      </c>
      <c r="L257">
        <v>3</v>
      </c>
      <c r="M257">
        <v>8.2766000000000002</v>
      </c>
      <c r="P257" t="s">
        <v>33</v>
      </c>
      <c r="Q257">
        <v>0</v>
      </c>
      <c r="R257" t="s">
        <v>1272</v>
      </c>
      <c r="S257" t="s">
        <v>1321</v>
      </c>
    </row>
    <row r="258" spans="1:19" hidden="1" x14ac:dyDescent="0.3">
      <c r="A258" t="s">
        <v>586</v>
      </c>
      <c r="B258" t="s">
        <v>587</v>
      </c>
      <c r="C258" t="s">
        <v>5</v>
      </c>
      <c r="D258">
        <v>14103</v>
      </c>
      <c r="E258" t="s">
        <v>509</v>
      </c>
      <c r="F258" t="s">
        <v>74</v>
      </c>
      <c r="G258" t="s">
        <v>510</v>
      </c>
      <c r="H258" t="s">
        <v>511</v>
      </c>
      <c r="I258" t="s">
        <v>31</v>
      </c>
      <c r="J258">
        <v>290</v>
      </c>
      <c r="K258" t="s">
        <v>512</v>
      </c>
      <c r="N258">
        <v>3</v>
      </c>
      <c r="O258">
        <v>0.45390000000000003</v>
      </c>
      <c r="P258" t="s">
        <v>38</v>
      </c>
      <c r="Q258">
        <v>1</v>
      </c>
      <c r="R258" t="s">
        <v>1272</v>
      </c>
      <c r="S258" t="s">
        <v>1322</v>
      </c>
    </row>
    <row r="259" spans="1:19" hidden="1" x14ac:dyDescent="0.3">
      <c r="A259" t="s">
        <v>586</v>
      </c>
      <c r="B259" t="s">
        <v>587</v>
      </c>
      <c r="C259" t="s">
        <v>5</v>
      </c>
      <c r="D259">
        <v>9821</v>
      </c>
      <c r="E259" t="s">
        <v>21</v>
      </c>
      <c r="F259" t="s">
        <v>22</v>
      </c>
      <c r="G259" t="s">
        <v>23</v>
      </c>
      <c r="H259" t="s">
        <v>24</v>
      </c>
      <c r="I259" t="s">
        <v>25</v>
      </c>
      <c r="J259">
        <v>998</v>
      </c>
      <c r="K259" t="s">
        <v>26</v>
      </c>
      <c r="N259">
        <v>4</v>
      </c>
      <c r="O259">
        <v>0.44790000000000002</v>
      </c>
      <c r="P259" t="s">
        <v>38</v>
      </c>
      <c r="Q259">
        <v>1</v>
      </c>
      <c r="R259" t="s">
        <v>1272</v>
      </c>
      <c r="S259" t="s">
        <v>1323</v>
      </c>
    </row>
    <row r="260" spans="1:19" hidden="1" x14ac:dyDescent="0.3">
      <c r="A260" t="s">
        <v>586</v>
      </c>
      <c r="B260" t="s">
        <v>587</v>
      </c>
      <c r="C260" t="s">
        <v>5</v>
      </c>
      <c r="D260">
        <v>14198</v>
      </c>
      <c r="E260" t="s">
        <v>73</v>
      </c>
      <c r="F260" t="s">
        <v>74</v>
      </c>
      <c r="G260" t="s">
        <v>75</v>
      </c>
      <c r="H260" t="s">
        <v>76</v>
      </c>
      <c r="I260" t="s">
        <v>31</v>
      </c>
      <c r="J260">
        <v>377</v>
      </c>
      <c r="K260" t="s">
        <v>77</v>
      </c>
      <c r="L260">
        <v>5</v>
      </c>
      <c r="M260">
        <v>7.4127000000000001</v>
      </c>
      <c r="P260" t="s">
        <v>33</v>
      </c>
      <c r="Q260">
        <v>1</v>
      </c>
      <c r="R260" t="s">
        <v>1272</v>
      </c>
      <c r="S260" t="s">
        <v>1322</v>
      </c>
    </row>
    <row r="261" spans="1:19" hidden="1" x14ac:dyDescent="0.3">
      <c r="A261" t="s">
        <v>586</v>
      </c>
      <c r="B261" t="s">
        <v>587</v>
      </c>
      <c r="C261" t="s">
        <v>5</v>
      </c>
      <c r="D261">
        <v>17519</v>
      </c>
      <c r="E261" t="s">
        <v>34</v>
      </c>
      <c r="F261" t="s">
        <v>22</v>
      </c>
      <c r="G261" t="s">
        <v>35</v>
      </c>
      <c r="H261" t="s">
        <v>36</v>
      </c>
      <c r="I261" t="s">
        <v>25</v>
      </c>
      <c r="J261">
        <v>2690</v>
      </c>
      <c r="K261" t="s">
        <v>37</v>
      </c>
      <c r="N261">
        <v>5</v>
      </c>
      <c r="O261">
        <v>0.43980000000000002</v>
      </c>
      <c r="P261" t="s">
        <v>38</v>
      </c>
      <c r="Q261">
        <v>1</v>
      </c>
      <c r="R261" t="s">
        <v>1272</v>
      </c>
      <c r="S261" t="s">
        <v>1323</v>
      </c>
    </row>
    <row r="262" spans="1:19" hidden="1" x14ac:dyDescent="0.3">
      <c r="A262" t="s">
        <v>586</v>
      </c>
      <c r="B262" t="s">
        <v>587</v>
      </c>
      <c r="C262" t="s">
        <v>5</v>
      </c>
      <c r="D262">
        <v>15013</v>
      </c>
      <c r="E262" t="s">
        <v>59</v>
      </c>
      <c r="F262" t="s">
        <v>60</v>
      </c>
      <c r="G262" t="s">
        <v>61</v>
      </c>
      <c r="H262" t="s">
        <v>62</v>
      </c>
      <c r="I262" t="s">
        <v>25</v>
      </c>
      <c r="J262">
        <v>550</v>
      </c>
      <c r="K262" t="s">
        <v>63</v>
      </c>
      <c r="N262">
        <v>6</v>
      </c>
      <c r="O262">
        <v>0.434</v>
      </c>
      <c r="P262" t="s">
        <v>38</v>
      </c>
      <c r="Q262">
        <v>1</v>
      </c>
      <c r="R262" t="s">
        <v>1272</v>
      </c>
      <c r="S262" t="s">
        <v>1324</v>
      </c>
    </row>
    <row r="263" spans="1:19" hidden="1" x14ac:dyDescent="0.3">
      <c r="A263" t="s">
        <v>586</v>
      </c>
      <c r="B263" t="s">
        <v>587</v>
      </c>
      <c r="C263" t="s">
        <v>5</v>
      </c>
      <c r="D263">
        <v>19982</v>
      </c>
      <c r="E263" t="s">
        <v>28</v>
      </c>
      <c r="F263" t="s">
        <v>22</v>
      </c>
      <c r="G263" t="s">
        <v>29</v>
      </c>
      <c r="H263" t="s">
        <v>30</v>
      </c>
      <c r="I263" t="s">
        <v>31</v>
      </c>
      <c r="J263">
        <v>543</v>
      </c>
      <c r="K263" t="s">
        <v>32</v>
      </c>
      <c r="L263">
        <v>6</v>
      </c>
      <c r="M263">
        <v>6.9344999999999999</v>
      </c>
      <c r="P263" t="s">
        <v>33</v>
      </c>
      <c r="Q263">
        <v>1</v>
      </c>
      <c r="R263" t="s">
        <v>1272</v>
      </c>
      <c r="S263" t="s">
        <v>1323</v>
      </c>
    </row>
    <row r="264" spans="1:19" hidden="1" x14ac:dyDescent="0.3">
      <c r="A264" t="s">
        <v>586</v>
      </c>
      <c r="B264" t="s">
        <v>587</v>
      </c>
      <c r="C264" t="s">
        <v>5</v>
      </c>
      <c r="D264">
        <v>9820</v>
      </c>
      <c r="E264" t="s">
        <v>150</v>
      </c>
      <c r="F264" t="s">
        <v>60</v>
      </c>
      <c r="G264" t="s">
        <v>151</v>
      </c>
      <c r="H264" t="s">
        <v>152</v>
      </c>
      <c r="I264" t="s">
        <v>25</v>
      </c>
      <c r="J264">
        <v>2512</v>
      </c>
      <c r="K264" t="s">
        <v>153</v>
      </c>
      <c r="N264">
        <v>7</v>
      </c>
      <c r="O264">
        <v>0.42609999999999998</v>
      </c>
      <c r="P264" t="s">
        <v>38</v>
      </c>
      <c r="Q264">
        <v>1</v>
      </c>
      <c r="R264" t="s">
        <v>1272</v>
      </c>
      <c r="S264" t="s">
        <v>1298</v>
      </c>
    </row>
    <row r="265" spans="1:19" hidden="1" x14ac:dyDescent="0.3">
      <c r="A265" t="s">
        <v>586</v>
      </c>
      <c r="B265" t="s">
        <v>587</v>
      </c>
      <c r="C265" t="s">
        <v>5</v>
      </c>
      <c r="D265">
        <v>20021</v>
      </c>
      <c r="E265" t="s">
        <v>592</v>
      </c>
      <c r="F265" t="s">
        <v>22</v>
      </c>
      <c r="G265" t="s">
        <v>593</v>
      </c>
      <c r="H265" t="s">
        <v>594</v>
      </c>
      <c r="I265" t="s">
        <v>31</v>
      </c>
      <c r="J265">
        <v>630</v>
      </c>
      <c r="K265" t="s">
        <v>595</v>
      </c>
      <c r="L265">
        <v>7</v>
      </c>
      <c r="M265">
        <v>6.6112000000000002</v>
      </c>
      <c r="P265" t="s">
        <v>33</v>
      </c>
      <c r="Q265">
        <v>1</v>
      </c>
      <c r="R265" t="s">
        <v>1272</v>
      </c>
      <c r="S265" t="s">
        <v>1298</v>
      </c>
    </row>
    <row r="266" spans="1:19" hidden="1" x14ac:dyDescent="0.3">
      <c r="A266" t="s">
        <v>586</v>
      </c>
      <c r="B266" t="s">
        <v>587</v>
      </c>
      <c r="C266" t="s">
        <v>5</v>
      </c>
      <c r="D266">
        <v>14011</v>
      </c>
      <c r="E266" t="s">
        <v>596</v>
      </c>
      <c r="F266" t="s">
        <v>22</v>
      </c>
      <c r="G266" t="s">
        <v>597</v>
      </c>
      <c r="H266" t="s">
        <v>598</v>
      </c>
      <c r="I266" t="s">
        <v>31</v>
      </c>
      <c r="J266">
        <v>931</v>
      </c>
      <c r="K266" t="s">
        <v>599</v>
      </c>
      <c r="L266">
        <v>8</v>
      </c>
      <c r="M266">
        <v>6.3215000000000003</v>
      </c>
      <c r="P266" t="s">
        <v>33</v>
      </c>
      <c r="Q266">
        <v>1</v>
      </c>
      <c r="R266" t="s">
        <v>1272</v>
      </c>
      <c r="S266" t="s">
        <v>1323</v>
      </c>
    </row>
    <row r="267" spans="1:19" hidden="1" x14ac:dyDescent="0.3">
      <c r="A267" t="s">
        <v>586</v>
      </c>
      <c r="B267" t="s">
        <v>587</v>
      </c>
      <c r="C267" t="s">
        <v>5</v>
      </c>
      <c r="D267">
        <v>18885</v>
      </c>
      <c r="E267" t="s">
        <v>86</v>
      </c>
      <c r="F267" t="s">
        <v>60</v>
      </c>
      <c r="G267" t="s">
        <v>87</v>
      </c>
      <c r="H267" t="s">
        <v>88</v>
      </c>
      <c r="I267" t="s">
        <v>31</v>
      </c>
      <c r="J267">
        <v>596</v>
      </c>
      <c r="K267" t="s">
        <v>89</v>
      </c>
      <c r="N267">
        <v>8</v>
      </c>
      <c r="O267">
        <v>0.41739999999999999</v>
      </c>
      <c r="P267" t="s">
        <v>38</v>
      </c>
      <c r="Q267">
        <v>0</v>
      </c>
      <c r="R267" t="s">
        <v>1272</v>
      </c>
      <c r="S267" t="s">
        <v>1274</v>
      </c>
    </row>
    <row r="268" spans="1:19" hidden="1" x14ac:dyDescent="0.3">
      <c r="A268" t="s">
        <v>586</v>
      </c>
      <c r="B268" t="s">
        <v>587</v>
      </c>
      <c r="C268" t="s">
        <v>5</v>
      </c>
      <c r="D268">
        <v>18703</v>
      </c>
      <c r="E268" t="s">
        <v>116</v>
      </c>
      <c r="F268" t="s">
        <v>117</v>
      </c>
      <c r="G268" t="s">
        <v>118</v>
      </c>
      <c r="H268" t="s">
        <v>119</v>
      </c>
      <c r="I268" t="s">
        <v>31</v>
      </c>
      <c r="J268">
        <v>303</v>
      </c>
      <c r="K268" t="s">
        <v>120</v>
      </c>
      <c r="N268">
        <v>9</v>
      </c>
      <c r="O268">
        <v>0.4163</v>
      </c>
      <c r="P268" t="s">
        <v>38</v>
      </c>
      <c r="Q268">
        <v>0</v>
      </c>
      <c r="R268" t="s">
        <v>1272</v>
      </c>
      <c r="S268" t="s">
        <v>1274</v>
      </c>
    </row>
    <row r="269" spans="1:19" hidden="1" x14ac:dyDescent="0.3">
      <c r="A269" t="s">
        <v>586</v>
      </c>
      <c r="B269" t="s">
        <v>587</v>
      </c>
      <c r="C269" t="s">
        <v>5</v>
      </c>
      <c r="D269">
        <v>20359</v>
      </c>
      <c r="E269" t="s">
        <v>376</v>
      </c>
      <c r="F269" t="s">
        <v>377</v>
      </c>
      <c r="G269" t="s">
        <v>378</v>
      </c>
      <c r="H269" t="s">
        <v>379</v>
      </c>
      <c r="I269" t="s">
        <v>25</v>
      </c>
      <c r="J269">
        <v>452</v>
      </c>
      <c r="K269" t="s">
        <v>380</v>
      </c>
      <c r="L269">
        <v>9</v>
      </c>
      <c r="M269">
        <v>6.2725999999999997</v>
      </c>
      <c r="P269" t="s">
        <v>33</v>
      </c>
      <c r="Q269">
        <v>2</v>
      </c>
      <c r="R269" t="s">
        <v>1272</v>
      </c>
      <c r="S269" t="s">
        <v>1280</v>
      </c>
    </row>
    <row r="270" spans="1:19" hidden="1" x14ac:dyDescent="0.3">
      <c r="A270" t="s">
        <v>586</v>
      </c>
      <c r="B270" t="s">
        <v>587</v>
      </c>
      <c r="C270" t="s">
        <v>5</v>
      </c>
      <c r="D270">
        <v>19376</v>
      </c>
      <c r="E270" t="s">
        <v>600</v>
      </c>
      <c r="F270" t="s">
        <v>449</v>
      </c>
      <c r="G270" t="s">
        <v>601</v>
      </c>
      <c r="H270" t="s">
        <v>602</v>
      </c>
      <c r="I270" t="s">
        <v>25</v>
      </c>
      <c r="J270">
        <v>1405</v>
      </c>
      <c r="K270" t="s">
        <v>603</v>
      </c>
      <c r="N270">
        <v>10</v>
      </c>
      <c r="O270">
        <v>0.4113</v>
      </c>
      <c r="P270" t="s">
        <v>38</v>
      </c>
      <c r="Q270">
        <v>0</v>
      </c>
      <c r="R270" t="s">
        <v>1272</v>
      </c>
      <c r="S270" t="s">
        <v>1295</v>
      </c>
    </row>
    <row r="271" spans="1:19" hidden="1" x14ac:dyDescent="0.3">
      <c r="A271" t="s">
        <v>604</v>
      </c>
      <c r="B271" t="s">
        <v>605</v>
      </c>
      <c r="C271" t="s">
        <v>5</v>
      </c>
      <c r="D271">
        <v>13674</v>
      </c>
      <c r="E271" t="s">
        <v>78</v>
      </c>
      <c r="F271" t="s">
        <v>22</v>
      </c>
      <c r="G271" t="s">
        <v>79</v>
      </c>
      <c r="H271" t="s">
        <v>80</v>
      </c>
      <c r="I271" t="s">
        <v>31</v>
      </c>
      <c r="J271">
        <v>1127</v>
      </c>
      <c r="K271" t="s">
        <v>81</v>
      </c>
      <c r="L271">
        <v>1</v>
      </c>
      <c r="M271">
        <v>14.418699999999999</v>
      </c>
      <c r="N271">
        <v>1</v>
      </c>
      <c r="O271">
        <v>0.43390000000000001</v>
      </c>
      <c r="P271" t="s">
        <v>27</v>
      </c>
      <c r="Q271">
        <v>2</v>
      </c>
      <c r="R271" t="s">
        <v>1272</v>
      </c>
      <c r="S271" t="s">
        <v>1280</v>
      </c>
    </row>
    <row r="272" spans="1:19" hidden="1" x14ac:dyDescent="0.3">
      <c r="A272" t="s">
        <v>604</v>
      </c>
      <c r="B272" t="s">
        <v>605</v>
      </c>
      <c r="C272" t="s">
        <v>5</v>
      </c>
      <c r="D272">
        <v>2818</v>
      </c>
      <c r="E272" t="s">
        <v>560</v>
      </c>
      <c r="F272" t="s">
        <v>22</v>
      </c>
      <c r="G272" t="s">
        <v>438</v>
      </c>
      <c r="H272" t="s">
        <v>561</v>
      </c>
      <c r="I272" t="s">
        <v>31</v>
      </c>
      <c r="J272">
        <v>2307</v>
      </c>
      <c r="K272" t="s">
        <v>562</v>
      </c>
      <c r="N272">
        <v>2</v>
      </c>
      <c r="O272">
        <v>0.3906</v>
      </c>
      <c r="P272" t="s">
        <v>38</v>
      </c>
      <c r="Q272">
        <v>2</v>
      </c>
      <c r="R272" t="s">
        <v>1272</v>
      </c>
      <c r="S272" t="s">
        <v>1280</v>
      </c>
    </row>
    <row r="273" spans="1:19" hidden="1" x14ac:dyDescent="0.3">
      <c r="A273" t="s">
        <v>604</v>
      </c>
      <c r="B273" t="s">
        <v>605</v>
      </c>
      <c r="C273" t="s">
        <v>5</v>
      </c>
      <c r="D273">
        <v>16201</v>
      </c>
      <c r="E273" t="s">
        <v>349</v>
      </c>
      <c r="F273" t="s">
        <v>288</v>
      </c>
      <c r="G273" t="s">
        <v>350</v>
      </c>
      <c r="H273" t="s">
        <v>351</v>
      </c>
      <c r="I273" t="s">
        <v>352</v>
      </c>
      <c r="J273">
        <v>1213</v>
      </c>
      <c r="K273" t="s">
        <v>353</v>
      </c>
      <c r="L273">
        <v>2</v>
      </c>
      <c r="M273">
        <v>10.342000000000001</v>
      </c>
      <c r="P273" t="s">
        <v>33</v>
      </c>
      <c r="Q273">
        <v>0</v>
      </c>
      <c r="R273" t="s">
        <v>1272</v>
      </c>
      <c r="S273" t="s">
        <v>1275</v>
      </c>
    </row>
    <row r="274" spans="1:19" hidden="1" x14ac:dyDescent="0.3">
      <c r="A274" t="s">
        <v>604</v>
      </c>
      <c r="B274" t="s">
        <v>605</v>
      </c>
      <c r="C274" t="s">
        <v>5</v>
      </c>
      <c r="D274">
        <v>9529</v>
      </c>
      <c r="E274" t="s">
        <v>606</v>
      </c>
      <c r="F274" t="s">
        <v>155</v>
      </c>
      <c r="G274" t="s">
        <v>41</v>
      </c>
      <c r="H274" t="s">
        <v>607</v>
      </c>
      <c r="I274" t="s">
        <v>25</v>
      </c>
      <c r="J274">
        <v>1417</v>
      </c>
      <c r="K274" t="s">
        <v>608</v>
      </c>
      <c r="L274">
        <v>3</v>
      </c>
      <c r="M274">
        <v>7.3699000000000003</v>
      </c>
      <c r="P274" t="s">
        <v>33</v>
      </c>
      <c r="Q274">
        <v>0</v>
      </c>
      <c r="R274" t="s">
        <v>1272</v>
      </c>
      <c r="S274" t="s">
        <v>1326</v>
      </c>
    </row>
    <row r="275" spans="1:19" hidden="1" x14ac:dyDescent="0.3">
      <c r="A275" t="s">
        <v>604</v>
      </c>
      <c r="B275" t="s">
        <v>605</v>
      </c>
      <c r="C275" t="s">
        <v>5</v>
      </c>
      <c r="D275">
        <v>9821</v>
      </c>
      <c r="E275" t="s">
        <v>21</v>
      </c>
      <c r="F275" t="s">
        <v>22</v>
      </c>
      <c r="G275" t="s">
        <v>23</v>
      </c>
      <c r="H275" t="s">
        <v>24</v>
      </c>
      <c r="I275" t="s">
        <v>25</v>
      </c>
      <c r="J275">
        <v>998</v>
      </c>
      <c r="K275" t="s">
        <v>26</v>
      </c>
      <c r="N275">
        <v>3</v>
      </c>
      <c r="O275">
        <v>0.38059999999999999</v>
      </c>
      <c r="P275" t="s">
        <v>38</v>
      </c>
      <c r="Q275">
        <v>2</v>
      </c>
      <c r="R275" t="s">
        <v>1272</v>
      </c>
      <c r="S275" t="s">
        <v>1280</v>
      </c>
    </row>
    <row r="276" spans="1:19" hidden="1" x14ac:dyDescent="0.3">
      <c r="A276" t="s">
        <v>604</v>
      </c>
      <c r="B276" t="s">
        <v>605</v>
      </c>
      <c r="C276" t="s">
        <v>5</v>
      </c>
      <c r="D276">
        <v>171</v>
      </c>
      <c r="E276" t="s">
        <v>102</v>
      </c>
      <c r="F276" t="s">
        <v>103</v>
      </c>
      <c r="G276" t="s">
        <v>104</v>
      </c>
      <c r="H276" t="s">
        <v>105</v>
      </c>
      <c r="I276" t="s">
        <v>31</v>
      </c>
      <c r="J276">
        <v>474</v>
      </c>
      <c r="K276" t="s">
        <v>106</v>
      </c>
      <c r="N276">
        <v>4</v>
      </c>
      <c r="O276">
        <v>0.37930000000000003</v>
      </c>
      <c r="P276" t="s">
        <v>38</v>
      </c>
      <c r="Q276">
        <v>0</v>
      </c>
      <c r="R276" t="s">
        <v>1272</v>
      </c>
      <c r="S276" t="s">
        <v>1326</v>
      </c>
    </row>
    <row r="277" spans="1:19" hidden="1" x14ac:dyDescent="0.3">
      <c r="A277" t="s">
        <v>604</v>
      </c>
      <c r="B277" t="s">
        <v>605</v>
      </c>
      <c r="C277" t="s">
        <v>5</v>
      </c>
      <c r="D277">
        <v>19982</v>
      </c>
      <c r="E277" t="s">
        <v>28</v>
      </c>
      <c r="F277" t="s">
        <v>22</v>
      </c>
      <c r="G277" t="s">
        <v>29</v>
      </c>
      <c r="H277" t="s">
        <v>30</v>
      </c>
      <c r="I277" t="s">
        <v>31</v>
      </c>
      <c r="J277">
        <v>543</v>
      </c>
      <c r="K277" t="s">
        <v>32</v>
      </c>
      <c r="L277">
        <v>4</v>
      </c>
      <c r="M277">
        <v>6.9344999999999999</v>
      </c>
      <c r="P277" t="s">
        <v>33</v>
      </c>
      <c r="Q277">
        <v>2</v>
      </c>
      <c r="R277" t="s">
        <v>1272</v>
      </c>
      <c r="S277" t="s">
        <v>1280</v>
      </c>
    </row>
    <row r="278" spans="1:19" hidden="1" x14ac:dyDescent="0.3">
      <c r="A278" t="s">
        <v>604</v>
      </c>
      <c r="B278" t="s">
        <v>605</v>
      </c>
      <c r="C278" t="s">
        <v>5</v>
      </c>
      <c r="D278">
        <v>20773</v>
      </c>
      <c r="E278" t="s">
        <v>109</v>
      </c>
      <c r="F278" t="s">
        <v>60</v>
      </c>
      <c r="G278" t="s">
        <v>41</v>
      </c>
      <c r="H278" t="s">
        <v>110</v>
      </c>
      <c r="I278" t="s">
        <v>25</v>
      </c>
      <c r="J278">
        <v>1156</v>
      </c>
      <c r="K278" t="s">
        <v>111</v>
      </c>
      <c r="N278">
        <v>5</v>
      </c>
      <c r="O278">
        <v>0.3785</v>
      </c>
      <c r="P278" t="s">
        <v>38</v>
      </c>
      <c r="Q278">
        <v>0</v>
      </c>
      <c r="R278" t="s">
        <v>1272</v>
      </c>
      <c r="S278" t="s">
        <v>1326</v>
      </c>
    </row>
    <row r="279" spans="1:19" hidden="1" x14ac:dyDescent="0.3">
      <c r="A279" t="s">
        <v>604</v>
      </c>
      <c r="B279" t="s">
        <v>605</v>
      </c>
      <c r="C279" t="s">
        <v>5</v>
      </c>
      <c r="D279">
        <v>20789</v>
      </c>
      <c r="E279" t="s">
        <v>39</v>
      </c>
      <c r="F279" t="s">
        <v>40</v>
      </c>
      <c r="G279" t="s">
        <v>41</v>
      </c>
      <c r="H279" t="s">
        <v>42</v>
      </c>
      <c r="I279" t="s">
        <v>25</v>
      </c>
      <c r="J279">
        <v>810</v>
      </c>
      <c r="K279" t="s">
        <v>43</v>
      </c>
      <c r="L279">
        <v>5</v>
      </c>
      <c r="M279">
        <v>6.1326999999999998</v>
      </c>
      <c r="P279" t="s">
        <v>33</v>
      </c>
      <c r="Q279">
        <v>2</v>
      </c>
      <c r="R279" t="s">
        <v>1272</v>
      </c>
      <c r="S279" t="s">
        <v>1280</v>
      </c>
    </row>
    <row r="280" spans="1:19" hidden="1" x14ac:dyDescent="0.3">
      <c r="A280" t="s">
        <v>604</v>
      </c>
      <c r="B280" t="s">
        <v>605</v>
      </c>
      <c r="C280" t="s">
        <v>5</v>
      </c>
      <c r="D280">
        <v>15013</v>
      </c>
      <c r="E280" t="s">
        <v>59</v>
      </c>
      <c r="F280" t="s">
        <v>60</v>
      </c>
      <c r="G280" t="s">
        <v>61</v>
      </c>
      <c r="H280" t="s">
        <v>62</v>
      </c>
      <c r="I280" t="s">
        <v>25</v>
      </c>
      <c r="J280">
        <v>550</v>
      </c>
      <c r="K280" t="s">
        <v>63</v>
      </c>
      <c r="N280">
        <v>6</v>
      </c>
      <c r="O280">
        <v>0.37580000000000002</v>
      </c>
      <c r="P280" t="s">
        <v>38</v>
      </c>
      <c r="Q280">
        <v>0</v>
      </c>
      <c r="R280" t="s">
        <v>1272</v>
      </c>
      <c r="S280" t="s">
        <v>1326</v>
      </c>
    </row>
    <row r="281" spans="1:19" hidden="1" x14ac:dyDescent="0.3">
      <c r="A281" t="s">
        <v>604</v>
      </c>
      <c r="B281" t="s">
        <v>605</v>
      </c>
      <c r="C281" t="s">
        <v>5</v>
      </c>
      <c r="D281">
        <v>19317</v>
      </c>
      <c r="E281" t="s">
        <v>44</v>
      </c>
      <c r="F281" t="s">
        <v>45</v>
      </c>
      <c r="G281" t="s">
        <v>46</v>
      </c>
      <c r="H281" t="s">
        <v>47</v>
      </c>
      <c r="I281" t="s">
        <v>31</v>
      </c>
      <c r="J281">
        <v>4168</v>
      </c>
      <c r="K281" t="s">
        <v>48</v>
      </c>
      <c r="L281">
        <v>6</v>
      </c>
      <c r="M281">
        <v>6.0723000000000003</v>
      </c>
      <c r="P281" t="s">
        <v>33</v>
      </c>
      <c r="Q281">
        <v>2</v>
      </c>
      <c r="R281" t="s">
        <v>1272</v>
      </c>
      <c r="S281" t="s">
        <v>1280</v>
      </c>
    </row>
    <row r="282" spans="1:19" hidden="1" x14ac:dyDescent="0.3">
      <c r="A282" t="s">
        <v>604</v>
      </c>
      <c r="B282" t="s">
        <v>605</v>
      </c>
      <c r="C282" t="s">
        <v>5</v>
      </c>
      <c r="D282">
        <v>18885</v>
      </c>
      <c r="E282" t="s">
        <v>86</v>
      </c>
      <c r="F282" t="s">
        <v>60</v>
      </c>
      <c r="G282" t="s">
        <v>87</v>
      </c>
      <c r="H282" t="s">
        <v>88</v>
      </c>
      <c r="I282" t="s">
        <v>31</v>
      </c>
      <c r="J282">
        <v>596</v>
      </c>
      <c r="K282" t="s">
        <v>89</v>
      </c>
      <c r="N282">
        <v>7</v>
      </c>
      <c r="O282">
        <v>0.37169999999999997</v>
      </c>
      <c r="P282" t="s">
        <v>38</v>
      </c>
      <c r="Q282">
        <v>0</v>
      </c>
      <c r="R282" t="s">
        <v>1272</v>
      </c>
      <c r="S282" t="s">
        <v>1326</v>
      </c>
    </row>
    <row r="283" spans="1:19" hidden="1" x14ac:dyDescent="0.3">
      <c r="A283" t="s">
        <v>604</v>
      </c>
      <c r="B283" t="s">
        <v>605</v>
      </c>
      <c r="C283" t="s">
        <v>5</v>
      </c>
      <c r="D283">
        <v>19395</v>
      </c>
      <c r="E283" t="s">
        <v>609</v>
      </c>
      <c r="F283" t="s">
        <v>22</v>
      </c>
      <c r="G283" t="s">
        <v>610</v>
      </c>
      <c r="H283" t="s">
        <v>611</v>
      </c>
      <c r="I283" t="s">
        <v>31</v>
      </c>
      <c r="J283">
        <v>560</v>
      </c>
      <c r="K283" t="s">
        <v>612</v>
      </c>
      <c r="L283">
        <v>7</v>
      </c>
      <c r="M283">
        <v>5.9534000000000002</v>
      </c>
      <c r="P283" t="s">
        <v>33</v>
      </c>
      <c r="Q283">
        <v>2</v>
      </c>
      <c r="R283" t="s">
        <v>1272</v>
      </c>
      <c r="S283" t="s">
        <v>1280</v>
      </c>
    </row>
    <row r="284" spans="1:19" hidden="1" x14ac:dyDescent="0.3">
      <c r="A284" t="s">
        <v>604</v>
      </c>
      <c r="B284" t="s">
        <v>605</v>
      </c>
      <c r="C284" t="s">
        <v>5</v>
      </c>
      <c r="D284">
        <v>13524</v>
      </c>
      <c r="E284" t="s">
        <v>613</v>
      </c>
      <c r="F284" t="s">
        <v>22</v>
      </c>
      <c r="G284" t="s">
        <v>614</v>
      </c>
      <c r="H284" t="s">
        <v>615</v>
      </c>
      <c r="I284" t="s">
        <v>31</v>
      </c>
      <c r="J284">
        <v>751</v>
      </c>
      <c r="K284" t="s">
        <v>616</v>
      </c>
      <c r="L284">
        <v>8</v>
      </c>
      <c r="M284">
        <v>5.5613000000000001</v>
      </c>
      <c r="P284" t="s">
        <v>33</v>
      </c>
      <c r="Q284">
        <v>2</v>
      </c>
      <c r="R284" t="s">
        <v>1272</v>
      </c>
      <c r="S284" t="s">
        <v>1280</v>
      </c>
    </row>
    <row r="285" spans="1:19" hidden="1" x14ac:dyDescent="0.3">
      <c r="A285" t="s">
        <v>604</v>
      </c>
      <c r="B285" t="s">
        <v>605</v>
      </c>
      <c r="C285" t="s">
        <v>5</v>
      </c>
      <c r="D285">
        <v>20803</v>
      </c>
      <c r="E285" t="s">
        <v>94</v>
      </c>
      <c r="F285" t="s">
        <v>95</v>
      </c>
      <c r="G285" t="s">
        <v>96</v>
      </c>
      <c r="H285" t="s">
        <v>97</v>
      </c>
      <c r="I285" t="s">
        <v>31</v>
      </c>
      <c r="J285">
        <v>100</v>
      </c>
      <c r="K285" t="s">
        <v>98</v>
      </c>
      <c r="N285">
        <v>8</v>
      </c>
      <c r="O285">
        <v>0.3695</v>
      </c>
      <c r="P285" t="s">
        <v>38</v>
      </c>
      <c r="Q285">
        <v>1</v>
      </c>
      <c r="R285" t="s">
        <v>1272</v>
      </c>
      <c r="S285" t="s">
        <v>1325</v>
      </c>
    </row>
    <row r="286" spans="1:19" hidden="1" x14ac:dyDescent="0.3">
      <c r="A286" t="s">
        <v>604</v>
      </c>
      <c r="B286" t="s">
        <v>605</v>
      </c>
      <c r="C286" t="s">
        <v>5</v>
      </c>
      <c r="D286">
        <v>13514</v>
      </c>
      <c r="E286" t="s">
        <v>64</v>
      </c>
      <c r="F286" t="s">
        <v>60</v>
      </c>
      <c r="G286" t="s">
        <v>65</v>
      </c>
      <c r="H286" t="s">
        <v>66</v>
      </c>
      <c r="I286" t="s">
        <v>31</v>
      </c>
      <c r="J286">
        <v>587</v>
      </c>
      <c r="K286" t="s">
        <v>67</v>
      </c>
      <c r="N286">
        <v>9</v>
      </c>
      <c r="O286">
        <v>0.36799999999999999</v>
      </c>
      <c r="P286" t="s">
        <v>38</v>
      </c>
      <c r="Q286">
        <v>0</v>
      </c>
      <c r="R286" t="s">
        <v>1272</v>
      </c>
      <c r="S286" t="s">
        <v>1326</v>
      </c>
    </row>
    <row r="287" spans="1:19" hidden="1" x14ac:dyDescent="0.3">
      <c r="A287" t="s">
        <v>604</v>
      </c>
      <c r="B287" t="s">
        <v>605</v>
      </c>
      <c r="C287" t="s">
        <v>5</v>
      </c>
      <c r="D287">
        <v>20648</v>
      </c>
      <c r="E287" t="s">
        <v>617</v>
      </c>
      <c r="F287" t="s">
        <v>22</v>
      </c>
      <c r="G287" t="s">
        <v>618</v>
      </c>
      <c r="H287" t="s">
        <v>619</v>
      </c>
      <c r="I287" t="s">
        <v>31</v>
      </c>
      <c r="J287">
        <v>2286</v>
      </c>
      <c r="K287" t="s">
        <v>620</v>
      </c>
      <c r="L287">
        <v>9</v>
      </c>
      <c r="M287">
        <v>5.5427</v>
      </c>
      <c r="P287" t="s">
        <v>33</v>
      </c>
      <c r="Q287">
        <v>2</v>
      </c>
      <c r="R287" t="s">
        <v>1272</v>
      </c>
      <c r="S287" t="s">
        <v>1280</v>
      </c>
    </row>
    <row r="288" spans="1:19" hidden="1" x14ac:dyDescent="0.3">
      <c r="A288" t="s">
        <v>604</v>
      </c>
      <c r="B288" t="s">
        <v>605</v>
      </c>
      <c r="C288" t="s">
        <v>5</v>
      </c>
      <c r="D288">
        <v>4828</v>
      </c>
      <c r="E288" t="s">
        <v>54</v>
      </c>
      <c r="F288" t="s">
        <v>55</v>
      </c>
      <c r="G288" t="s">
        <v>56</v>
      </c>
      <c r="H288" t="s">
        <v>57</v>
      </c>
      <c r="I288" t="s">
        <v>25</v>
      </c>
      <c r="J288">
        <v>546</v>
      </c>
      <c r="K288" t="s">
        <v>58</v>
      </c>
      <c r="L288">
        <v>10</v>
      </c>
      <c r="M288">
        <v>5.4095000000000004</v>
      </c>
      <c r="P288" t="s">
        <v>33</v>
      </c>
      <c r="Q288">
        <v>0</v>
      </c>
      <c r="R288" t="s">
        <v>1272</v>
      </c>
      <c r="S288" t="s">
        <v>1326</v>
      </c>
    </row>
    <row r="289" spans="1:19" hidden="1" x14ac:dyDescent="0.3">
      <c r="A289" t="s">
        <v>604</v>
      </c>
      <c r="B289" t="s">
        <v>605</v>
      </c>
      <c r="C289" t="s">
        <v>5</v>
      </c>
      <c r="D289">
        <v>17519</v>
      </c>
      <c r="E289" t="s">
        <v>34</v>
      </c>
      <c r="F289" t="s">
        <v>22</v>
      </c>
      <c r="G289" t="s">
        <v>35</v>
      </c>
      <c r="H289" t="s">
        <v>36</v>
      </c>
      <c r="I289" t="s">
        <v>25</v>
      </c>
      <c r="J289">
        <v>2690</v>
      </c>
      <c r="K289" t="s">
        <v>37</v>
      </c>
      <c r="N289">
        <v>10</v>
      </c>
      <c r="O289">
        <v>0.36149999999999999</v>
      </c>
      <c r="P289" t="s">
        <v>38</v>
      </c>
      <c r="Q289">
        <v>2</v>
      </c>
      <c r="R289" t="s">
        <v>1272</v>
      </c>
      <c r="S289" t="s">
        <v>1280</v>
      </c>
    </row>
    <row r="290" spans="1:19" hidden="1" x14ac:dyDescent="0.3">
      <c r="A290" t="s">
        <v>621</v>
      </c>
      <c r="B290" t="s">
        <v>622</v>
      </c>
      <c r="C290" t="s">
        <v>5</v>
      </c>
      <c r="D290">
        <v>3280</v>
      </c>
      <c r="E290" t="s">
        <v>178</v>
      </c>
      <c r="F290" t="s">
        <v>155</v>
      </c>
      <c r="G290" t="s">
        <v>179</v>
      </c>
      <c r="H290" t="s">
        <v>180</v>
      </c>
      <c r="I290" t="s">
        <v>25</v>
      </c>
      <c r="J290">
        <v>927</v>
      </c>
      <c r="K290" t="s">
        <v>181</v>
      </c>
      <c r="N290">
        <v>1</v>
      </c>
      <c r="O290">
        <v>0.4269</v>
      </c>
      <c r="P290" t="s">
        <v>38</v>
      </c>
      <c r="Q290">
        <v>2</v>
      </c>
      <c r="R290" t="s">
        <v>1272</v>
      </c>
      <c r="S290" t="s">
        <v>1280</v>
      </c>
    </row>
    <row r="291" spans="1:19" hidden="1" x14ac:dyDescent="0.3">
      <c r="A291" t="s">
        <v>621</v>
      </c>
      <c r="B291" t="s">
        <v>622</v>
      </c>
      <c r="C291" t="s">
        <v>5</v>
      </c>
      <c r="D291">
        <v>11553</v>
      </c>
      <c r="E291" t="s">
        <v>623</v>
      </c>
      <c r="F291" t="s">
        <v>60</v>
      </c>
      <c r="G291" t="s">
        <v>624</v>
      </c>
      <c r="H291" t="s">
        <v>625</v>
      </c>
      <c r="I291" t="s">
        <v>31</v>
      </c>
      <c r="J291">
        <v>489</v>
      </c>
      <c r="K291" t="s">
        <v>626</v>
      </c>
      <c r="L291">
        <v>1</v>
      </c>
      <c r="M291">
        <v>11.529199999999999</v>
      </c>
      <c r="P291" t="s">
        <v>33</v>
      </c>
      <c r="Q291">
        <v>0</v>
      </c>
      <c r="R291" t="s">
        <v>1272</v>
      </c>
      <c r="S291" t="s">
        <v>1328</v>
      </c>
    </row>
    <row r="292" spans="1:19" hidden="1" x14ac:dyDescent="0.3">
      <c r="A292" t="s">
        <v>621</v>
      </c>
      <c r="B292" t="s">
        <v>622</v>
      </c>
      <c r="C292" t="s">
        <v>5</v>
      </c>
      <c r="D292">
        <v>16102</v>
      </c>
      <c r="E292" t="s">
        <v>186</v>
      </c>
      <c r="F292" t="s">
        <v>155</v>
      </c>
      <c r="G292" t="s">
        <v>187</v>
      </c>
      <c r="H292" t="s">
        <v>188</v>
      </c>
      <c r="I292" t="s">
        <v>25</v>
      </c>
      <c r="J292">
        <v>8766</v>
      </c>
      <c r="K292" t="s">
        <v>189</v>
      </c>
      <c r="L292">
        <v>2</v>
      </c>
      <c r="M292">
        <v>9.7560000000000002</v>
      </c>
      <c r="P292" t="s">
        <v>33</v>
      </c>
      <c r="Q292">
        <v>2</v>
      </c>
      <c r="R292" t="s">
        <v>1272</v>
      </c>
      <c r="S292" t="s">
        <v>1280</v>
      </c>
    </row>
    <row r="293" spans="1:19" hidden="1" x14ac:dyDescent="0.3">
      <c r="A293" t="s">
        <v>621</v>
      </c>
      <c r="B293" t="s">
        <v>622</v>
      </c>
      <c r="C293" t="s">
        <v>5</v>
      </c>
      <c r="D293">
        <v>19521</v>
      </c>
      <c r="E293" t="s">
        <v>213</v>
      </c>
      <c r="F293" t="s">
        <v>155</v>
      </c>
      <c r="G293" t="s">
        <v>214</v>
      </c>
      <c r="H293" t="s">
        <v>215</v>
      </c>
      <c r="I293" t="s">
        <v>31</v>
      </c>
      <c r="J293">
        <v>265</v>
      </c>
      <c r="K293" t="s">
        <v>216</v>
      </c>
      <c r="N293">
        <v>2</v>
      </c>
      <c r="O293">
        <v>0.4153</v>
      </c>
      <c r="P293" t="s">
        <v>38</v>
      </c>
      <c r="Q293">
        <v>1</v>
      </c>
      <c r="R293" t="s">
        <v>1272</v>
      </c>
      <c r="S293" t="s">
        <v>1327</v>
      </c>
    </row>
    <row r="294" spans="1:19" hidden="1" x14ac:dyDescent="0.3">
      <c r="A294" t="s">
        <v>621</v>
      </c>
      <c r="B294" t="s">
        <v>622</v>
      </c>
      <c r="C294" t="s">
        <v>5</v>
      </c>
      <c r="D294">
        <v>19530</v>
      </c>
      <c r="E294" t="s">
        <v>627</v>
      </c>
      <c r="F294" t="s">
        <v>155</v>
      </c>
      <c r="G294" t="s">
        <v>628</v>
      </c>
      <c r="H294" t="s">
        <v>629</v>
      </c>
      <c r="I294" t="s">
        <v>352</v>
      </c>
      <c r="J294">
        <v>282</v>
      </c>
      <c r="K294" t="s">
        <v>630</v>
      </c>
      <c r="L294">
        <v>3</v>
      </c>
      <c r="M294">
        <v>9.36</v>
      </c>
      <c r="P294" t="s">
        <v>33</v>
      </c>
      <c r="Q294">
        <v>1</v>
      </c>
      <c r="R294" t="s">
        <v>1272</v>
      </c>
      <c r="S294" t="s">
        <v>1327</v>
      </c>
    </row>
    <row r="295" spans="1:19" hidden="1" x14ac:dyDescent="0.3">
      <c r="A295" t="s">
        <v>621</v>
      </c>
      <c r="B295" t="s">
        <v>622</v>
      </c>
      <c r="C295" t="s">
        <v>5</v>
      </c>
      <c r="D295">
        <v>19710</v>
      </c>
      <c r="E295" t="s">
        <v>199</v>
      </c>
      <c r="F295" t="s">
        <v>200</v>
      </c>
      <c r="G295" t="s">
        <v>201</v>
      </c>
      <c r="H295" t="s">
        <v>202</v>
      </c>
      <c r="I295" t="s">
        <v>31</v>
      </c>
      <c r="J295">
        <v>262</v>
      </c>
      <c r="K295" t="s">
        <v>203</v>
      </c>
      <c r="N295">
        <v>3</v>
      </c>
      <c r="O295">
        <v>0.40139999999999998</v>
      </c>
      <c r="P295" t="s">
        <v>38</v>
      </c>
      <c r="Q295">
        <v>1</v>
      </c>
      <c r="R295" t="s">
        <v>1272</v>
      </c>
      <c r="S295" t="s">
        <v>1327</v>
      </c>
    </row>
    <row r="296" spans="1:19" hidden="1" x14ac:dyDescent="0.3">
      <c r="A296" t="s">
        <v>621</v>
      </c>
      <c r="B296" t="s">
        <v>622</v>
      </c>
      <c r="C296" t="s">
        <v>5</v>
      </c>
      <c r="D296">
        <v>16928</v>
      </c>
      <c r="E296" t="s">
        <v>631</v>
      </c>
      <c r="F296" t="s">
        <v>155</v>
      </c>
      <c r="G296" t="s">
        <v>632</v>
      </c>
      <c r="H296" t="s">
        <v>633</v>
      </c>
      <c r="I296" t="s">
        <v>31</v>
      </c>
      <c r="J296">
        <v>1048</v>
      </c>
      <c r="K296" t="s">
        <v>634</v>
      </c>
      <c r="L296">
        <v>4</v>
      </c>
      <c r="M296">
        <v>9.1476000000000006</v>
      </c>
      <c r="P296" t="s">
        <v>33</v>
      </c>
      <c r="Q296">
        <v>1</v>
      </c>
      <c r="R296" t="s">
        <v>1272</v>
      </c>
      <c r="S296" t="s">
        <v>1327</v>
      </c>
    </row>
    <row r="297" spans="1:19" hidden="1" x14ac:dyDescent="0.3">
      <c r="A297" t="s">
        <v>621</v>
      </c>
      <c r="B297" t="s">
        <v>622</v>
      </c>
      <c r="C297" t="s">
        <v>5</v>
      </c>
      <c r="D297">
        <v>20777</v>
      </c>
      <c r="E297" t="s">
        <v>174</v>
      </c>
      <c r="F297" t="s">
        <v>155</v>
      </c>
      <c r="G297" t="s">
        <v>175</v>
      </c>
      <c r="H297" t="s">
        <v>176</v>
      </c>
      <c r="I297" t="s">
        <v>31</v>
      </c>
      <c r="J297">
        <v>384</v>
      </c>
      <c r="K297" t="s">
        <v>177</v>
      </c>
      <c r="N297">
        <v>4</v>
      </c>
      <c r="O297">
        <v>0.39190000000000003</v>
      </c>
      <c r="P297" t="s">
        <v>38</v>
      </c>
      <c r="Q297">
        <v>1</v>
      </c>
      <c r="R297" t="s">
        <v>1272</v>
      </c>
      <c r="S297" t="s">
        <v>1327</v>
      </c>
    </row>
    <row r="298" spans="1:19" hidden="1" x14ac:dyDescent="0.3">
      <c r="A298" t="s">
        <v>621</v>
      </c>
      <c r="B298" t="s">
        <v>622</v>
      </c>
      <c r="C298" t="s">
        <v>5</v>
      </c>
      <c r="D298">
        <v>14998</v>
      </c>
      <c r="E298" t="s">
        <v>635</v>
      </c>
      <c r="F298" t="s">
        <v>155</v>
      </c>
      <c r="G298" t="s">
        <v>156</v>
      </c>
      <c r="H298" t="s">
        <v>636</v>
      </c>
      <c r="I298" t="s">
        <v>25</v>
      </c>
      <c r="J298">
        <v>520</v>
      </c>
      <c r="K298" t="s">
        <v>637</v>
      </c>
      <c r="L298">
        <v>5</v>
      </c>
      <c r="M298">
        <v>8.5145</v>
      </c>
      <c r="P298" t="s">
        <v>33</v>
      </c>
      <c r="Q298">
        <v>2</v>
      </c>
      <c r="R298" t="s">
        <v>1272</v>
      </c>
      <c r="S298" t="s">
        <v>1280</v>
      </c>
    </row>
    <row r="299" spans="1:19" hidden="1" x14ac:dyDescent="0.3">
      <c r="A299" t="s">
        <v>621</v>
      </c>
      <c r="B299" t="s">
        <v>622</v>
      </c>
      <c r="C299" t="s">
        <v>5</v>
      </c>
      <c r="D299">
        <v>17650</v>
      </c>
      <c r="E299" t="s">
        <v>195</v>
      </c>
      <c r="F299" t="s">
        <v>155</v>
      </c>
      <c r="G299" t="s">
        <v>196</v>
      </c>
      <c r="H299" t="s">
        <v>197</v>
      </c>
      <c r="I299" t="s">
        <v>25</v>
      </c>
      <c r="J299">
        <v>700</v>
      </c>
      <c r="K299" t="s">
        <v>198</v>
      </c>
      <c r="N299">
        <v>5</v>
      </c>
      <c r="O299">
        <v>0.38640000000000002</v>
      </c>
      <c r="P299" t="s">
        <v>38</v>
      </c>
      <c r="Q299">
        <v>2</v>
      </c>
      <c r="R299" t="s">
        <v>1272</v>
      </c>
      <c r="S299" t="s">
        <v>1280</v>
      </c>
    </row>
    <row r="300" spans="1:19" hidden="1" x14ac:dyDescent="0.3">
      <c r="A300" t="s">
        <v>621</v>
      </c>
      <c r="B300" t="s">
        <v>622</v>
      </c>
      <c r="C300" t="s">
        <v>5</v>
      </c>
      <c r="D300">
        <v>17914</v>
      </c>
      <c r="E300" t="s">
        <v>638</v>
      </c>
      <c r="F300" t="s">
        <v>155</v>
      </c>
      <c r="G300" t="s">
        <v>235</v>
      </c>
      <c r="H300" t="s">
        <v>639</v>
      </c>
      <c r="I300" t="s">
        <v>31</v>
      </c>
      <c r="J300">
        <v>167</v>
      </c>
      <c r="K300" t="s">
        <v>640</v>
      </c>
      <c r="L300">
        <v>6</v>
      </c>
      <c r="M300">
        <v>8.4976000000000003</v>
      </c>
      <c r="P300" t="s">
        <v>33</v>
      </c>
      <c r="Q300">
        <v>1</v>
      </c>
      <c r="R300" t="s">
        <v>1272</v>
      </c>
      <c r="S300" t="s">
        <v>1327</v>
      </c>
    </row>
    <row r="301" spans="1:19" hidden="1" x14ac:dyDescent="0.3">
      <c r="A301" t="s">
        <v>621</v>
      </c>
      <c r="B301" t="s">
        <v>622</v>
      </c>
      <c r="C301" t="s">
        <v>5</v>
      </c>
      <c r="D301">
        <v>18703</v>
      </c>
      <c r="E301" t="s">
        <v>116</v>
      </c>
      <c r="F301" t="s">
        <v>117</v>
      </c>
      <c r="G301" t="s">
        <v>118</v>
      </c>
      <c r="H301" t="s">
        <v>119</v>
      </c>
      <c r="I301" t="s">
        <v>31</v>
      </c>
      <c r="J301">
        <v>303</v>
      </c>
      <c r="K301" t="s">
        <v>120</v>
      </c>
      <c r="N301">
        <v>6</v>
      </c>
      <c r="O301">
        <v>0.38440000000000002</v>
      </c>
      <c r="P301" t="s">
        <v>38</v>
      </c>
      <c r="Q301">
        <v>1</v>
      </c>
      <c r="R301" t="s">
        <v>1272</v>
      </c>
      <c r="S301" t="s">
        <v>1327</v>
      </c>
    </row>
    <row r="302" spans="1:19" hidden="1" x14ac:dyDescent="0.3">
      <c r="A302" t="s">
        <v>621</v>
      </c>
      <c r="B302" t="s">
        <v>622</v>
      </c>
      <c r="C302" t="s">
        <v>5</v>
      </c>
      <c r="D302">
        <v>17487</v>
      </c>
      <c r="E302" t="s">
        <v>641</v>
      </c>
      <c r="F302" t="s">
        <v>155</v>
      </c>
      <c r="G302" t="s">
        <v>642</v>
      </c>
      <c r="H302" t="s">
        <v>643</v>
      </c>
      <c r="I302" t="s">
        <v>25</v>
      </c>
      <c r="J302">
        <v>827</v>
      </c>
      <c r="K302" t="s">
        <v>644</v>
      </c>
      <c r="N302">
        <v>7</v>
      </c>
      <c r="O302">
        <v>0.38229999999999997</v>
      </c>
      <c r="P302" t="s">
        <v>38</v>
      </c>
      <c r="Q302">
        <v>2</v>
      </c>
      <c r="R302" t="s">
        <v>1272</v>
      </c>
      <c r="S302" t="s">
        <v>1280</v>
      </c>
    </row>
    <row r="303" spans="1:19" hidden="1" x14ac:dyDescent="0.3">
      <c r="A303" t="s">
        <v>621</v>
      </c>
      <c r="B303" t="s">
        <v>622</v>
      </c>
      <c r="C303" t="s">
        <v>5</v>
      </c>
      <c r="D303">
        <v>19111</v>
      </c>
      <c r="E303" t="s">
        <v>645</v>
      </c>
      <c r="F303" t="s">
        <v>22</v>
      </c>
      <c r="G303" t="s">
        <v>646</v>
      </c>
      <c r="H303" t="s">
        <v>647</v>
      </c>
      <c r="I303" t="s">
        <v>31</v>
      </c>
      <c r="J303">
        <v>240</v>
      </c>
      <c r="K303" t="s">
        <v>648</v>
      </c>
      <c r="L303">
        <v>7</v>
      </c>
      <c r="M303">
        <v>8.4443000000000001</v>
      </c>
      <c r="P303" t="s">
        <v>33</v>
      </c>
      <c r="Q303">
        <v>0</v>
      </c>
      <c r="R303" t="s">
        <v>1272</v>
      </c>
      <c r="S303" t="s">
        <v>1328</v>
      </c>
    </row>
    <row r="304" spans="1:19" hidden="1" x14ac:dyDescent="0.3">
      <c r="A304" t="s">
        <v>621</v>
      </c>
      <c r="B304" t="s">
        <v>622</v>
      </c>
      <c r="C304" t="s">
        <v>5</v>
      </c>
      <c r="D304">
        <v>17972</v>
      </c>
      <c r="E304" t="s">
        <v>385</v>
      </c>
      <c r="F304" t="s">
        <v>230</v>
      </c>
      <c r="G304" t="s">
        <v>386</v>
      </c>
      <c r="H304" t="s">
        <v>387</v>
      </c>
      <c r="I304" t="s">
        <v>31</v>
      </c>
      <c r="J304">
        <v>544</v>
      </c>
      <c r="K304" t="s">
        <v>388</v>
      </c>
      <c r="L304">
        <v>8</v>
      </c>
      <c r="M304">
        <v>8.1228999999999996</v>
      </c>
      <c r="P304" t="s">
        <v>33</v>
      </c>
      <c r="Q304">
        <v>0</v>
      </c>
      <c r="R304" t="s">
        <v>1272</v>
      </c>
      <c r="S304" t="s">
        <v>1328</v>
      </c>
    </row>
    <row r="305" spans="1:19" hidden="1" x14ac:dyDescent="0.3">
      <c r="A305" t="s">
        <v>621</v>
      </c>
      <c r="B305" t="s">
        <v>622</v>
      </c>
      <c r="C305" t="s">
        <v>5</v>
      </c>
      <c r="D305">
        <v>19836</v>
      </c>
      <c r="E305" t="s">
        <v>649</v>
      </c>
      <c r="F305" t="s">
        <v>155</v>
      </c>
      <c r="G305" t="s">
        <v>650</v>
      </c>
      <c r="H305" t="s">
        <v>651</v>
      </c>
      <c r="I305" t="s">
        <v>31</v>
      </c>
      <c r="J305">
        <v>185</v>
      </c>
      <c r="K305" t="s">
        <v>652</v>
      </c>
      <c r="N305">
        <v>8</v>
      </c>
      <c r="O305">
        <v>0.37990000000000002</v>
      </c>
      <c r="P305" t="s">
        <v>38</v>
      </c>
      <c r="Q305">
        <v>1</v>
      </c>
      <c r="R305" t="s">
        <v>1272</v>
      </c>
      <c r="S305" t="s">
        <v>1327</v>
      </c>
    </row>
    <row r="306" spans="1:19" hidden="1" x14ac:dyDescent="0.3">
      <c r="A306" t="s">
        <v>621</v>
      </c>
      <c r="B306" t="s">
        <v>622</v>
      </c>
      <c r="C306" t="s">
        <v>5</v>
      </c>
      <c r="D306">
        <v>12674</v>
      </c>
      <c r="E306" t="s">
        <v>653</v>
      </c>
      <c r="F306" t="s">
        <v>155</v>
      </c>
      <c r="G306" t="s">
        <v>654</v>
      </c>
      <c r="H306" t="s">
        <v>655</v>
      </c>
      <c r="I306" t="s">
        <v>31</v>
      </c>
      <c r="J306">
        <v>587</v>
      </c>
      <c r="K306" t="s">
        <v>656</v>
      </c>
      <c r="L306">
        <v>9</v>
      </c>
      <c r="M306">
        <v>8.1182999999999996</v>
      </c>
      <c r="P306" t="s">
        <v>33</v>
      </c>
      <c r="Q306">
        <v>1</v>
      </c>
      <c r="R306" t="s">
        <v>1272</v>
      </c>
      <c r="S306" t="s">
        <v>1327</v>
      </c>
    </row>
    <row r="307" spans="1:19" hidden="1" x14ac:dyDescent="0.3">
      <c r="A307" t="s">
        <v>621</v>
      </c>
      <c r="B307" t="s">
        <v>622</v>
      </c>
      <c r="C307" t="s">
        <v>5</v>
      </c>
      <c r="D307">
        <v>16395</v>
      </c>
      <c r="E307" t="s">
        <v>657</v>
      </c>
      <c r="F307" t="s">
        <v>155</v>
      </c>
      <c r="G307" t="s">
        <v>658</v>
      </c>
      <c r="H307" t="s">
        <v>659</v>
      </c>
      <c r="I307" t="s">
        <v>25</v>
      </c>
      <c r="J307">
        <v>1358</v>
      </c>
      <c r="K307" t="s">
        <v>660</v>
      </c>
      <c r="N307">
        <v>9</v>
      </c>
      <c r="O307">
        <v>0.37769999999999998</v>
      </c>
      <c r="P307" t="s">
        <v>38</v>
      </c>
      <c r="Q307">
        <v>2</v>
      </c>
      <c r="R307" t="s">
        <v>1272</v>
      </c>
      <c r="S307" t="s">
        <v>1280</v>
      </c>
    </row>
    <row r="308" spans="1:19" hidden="1" x14ac:dyDescent="0.3">
      <c r="A308" t="s">
        <v>621</v>
      </c>
      <c r="B308" t="s">
        <v>622</v>
      </c>
      <c r="C308" t="s">
        <v>5</v>
      </c>
      <c r="D308">
        <v>12662</v>
      </c>
      <c r="E308" t="s">
        <v>313</v>
      </c>
      <c r="F308" t="s">
        <v>155</v>
      </c>
      <c r="G308" t="s">
        <v>314</v>
      </c>
      <c r="H308" t="s">
        <v>315</v>
      </c>
      <c r="I308" t="s">
        <v>31</v>
      </c>
      <c r="J308">
        <v>711</v>
      </c>
      <c r="K308" t="s">
        <v>316</v>
      </c>
      <c r="N308">
        <v>10</v>
      </c>
      <c r="O308">
        <v>0.374</v>
      </c>
      <c r="P308" t="s">
        <v>38</v>
      </c>
      <c r="Q308">
        <v>1</v>
      </c>
      <c r="R308" t="s">
        <v>1272</v>
      </c>
      <c r="S308" t="s">
        <v>1327</v>
      </c>
    </row>
    <row r="309" spans="1:19" hidden="1" x14ac:dyDescent="0.3">
      <c r="A309" t="s">
        <v>621</v>
      </c>
      <c r="B309" t="s">
        <v>622</v>
      </c>
      <c r="C309" t="s">
        <v>5</v>
      </c>
      <c r="D309">
        <v>20392</v>
      </c>
      <c r="E309" t="s">
        <v>661</v>
      </c>
      <c r="F309" t="s">
        <v>662</v>
      </c>
      <c r="G309" t="s">
        <v>41</v>
      </c>
      <c r="H309" t="s">
        <v>663</v>
      </c>
      <c r="I309" t="s">
        <v>25</v>
      </c>
      <c r="J309">
        <v>980</v>
      </c>
      <c r="K309" t="s">
        <v>664</v>
      </c>
      <c r="L309">
        <v>10</v>
      </c>
      <c r="M309">
        <v>8.0565999999999995</v>
      </c>
      <c r="P309" t="s">
        <v>33</v>
      </c>
      <c r="Q309">
        <v>0</v>
      </c>
      <c r="R309" t="s">
        <v>1272</v>
      </c>
      <c r="S309" t="s">
        <v>1328</v>
      </c>
    </row>
    <row r="310" spans="1:19" hidden="1" x14ac:dyDescent="0.3">
      <c r="A310" t="s">
        <v>665</v>
      </c>
      <c r="B310" t="s">
        <v>666</v>
      </c>
      <c r="C310" t="s">
        <v>5</v>
      </c>
      <c r="D310">
        <v>8979</v>
      </c>
      <c r="E310" t="s">
        <v>667</v>
      </c>
      <c r="F310" t="s">
        <v>668</v>
      </c>
      <c r="G310" t="s">
        <v>669</v>
      </c>
      <c r="H310" t="s">
        <v>670</v>
      </c>
      <c r="I310" t="s">
        <v>25</v>
      </c>
      <c r="J310">
        <v>925</v>
      </c>
      <c r="K310" t="s">
        <v>671</v>
      </c>
      <c r="L310">
        <v>2</v>
      </c>
      <c r="M310">
        <v>12.474299999999999</v>
      </c>
      <c r="N310">
        <v>1</v>
      </c>
      <c r="O310">
        <v>0.4052</v>
      </c>
      <c r="P310" t="s">
        <v>27</v>
      </c>
      <c r="Q310">
        <v>1</v>
      </c>
      <c r="R310" t="s">
        <v>1272</v>
      </c>
      <c r="S310" t="s">
        <v>1331</v>
      </c>
    </row>
    <row r="311" spans="1:19" hidden="1" x14ac:dyDescent="0.3">
      <c r="A311" t="s">
        <v>665</v>
      </c>
      <c r="B311" t="s">
        <v>666</v>
      </c>
      <c r="C311" t="s">
        <v>5</v>
      </c>
      <c r="D311">
        <v>12568</v>
      </c>
      <c r="E311" t="s">
        <v>672</v>
      </c>
      <c r="F311" t="s">
        <v>570</v>
      </c>
      <c r="G311" t="s">
        <v>673</v>
      </c>
      <c r="H311" t="s">
        <v>674</v>
      </c>
      <c r="I311" t="s">
        <v>31</v>
      </c>
      <c r="J311">
        <v>357</v>
      </c>
      <c r="K311" t="s">
        <v>675</v>
      </c>
      <c r="L311">
        <v>1</v>
      </c>
      <c r="M311">
        <v>13.114100000000001</v>
      </c>
      <c r="P311" t="s">
        <v>33</v>
      </c>
      <c r="Q311">
        <v>0</v>
      </c>
      <c r="R311" t="s">
        <v>1272</v>
      </c>
      <c r="S311" t="s">
        <v>1329</v>
      </c>
    </row>
    <row r="312" spans="1:19" hidden="1" x14ac:dyDescent="0.3">
      <c r="A312" t="s">
        <v>665</v>
      </c>
      <c r="B312" t="s">
        <v>666</v>
      </c>
      <c r="C312" t="s">
        <v>5</v>
      </c>
      <c r="D312">
        <v>8524</v>
      </c>
      <c r="E312" t="s">
        <v>676</v>
      </c>
      <c r="F312" t="s">
        <v>668</v>
      </c>
      <c r="G312" t="s">
        <v>677</v>
      </c>
      <c r="H312" t="s">
        <v>678</v>
      </c>
      <c r="I312" t="s">
        <v>25</v>
      </c>
      <c r="J312">
        <v>226</v>
      </c>
      <c r="K312" t="s">
        <v>679</v>
      </c>
      <c r="L312">
        <v>3</v>
      </c>
      <c r="M312">
        <v>12.3969</v>
      </c>
      <c r="N312">
        <v>2</v>
      </c>
      <c r="O312">
        <v>0.4017</v>
      </c>
      <c r="P312" t="s">
        <v>27</v>
      </c>
      <c r="Q312">
        <v>1</v>
      </c>
      <c r="R312" t="s">
        <v>1272</v>
      </c>
      <c r="S312" t="s">
        <v>1331</v>
      </c>
    </row>
    <row r="313" spans="1:19" hidden="1" x14ac:dyDescent="0.3">
      <c r="A313" t="s">
        <v>665</v>
      </c>
      <c r="B313" t="s">
        <v>666</v>
      </c>
      <c r="C313" t="s">
        <v>5</v>
      </c>
      <c r="D313">
        <v>12188</v>
      </c>
      <c r="E313" t="s">
        <v>680</v>
      </c>
      <c r="F313" t="s">
        <v>668</v>
      </c>
      <c r="G313" t="s">
        <v>681</v>
      </c>
      <c r="H313" t="s">
        <v>682</v>
      </c>
      <c r="I313" t="s">
        <v>31</v>
      </c>
      <c r="J313">
        <v>637</v>
      </c>
      <c r="K313" t="s">
        <v>683</v>
      </c>
      <c r="L313">
        <v>9</v>
      </c>
      <c r="M313">
        <v>11.114699999999999</v>
      </c>
      <c r="N313">
        <v>3</v>
      </c>
      <c r="O313">
        <v>0.39369999999999999</v>
      </c>
      <c r="P313" t="s">
        <v>27</v>
      </c>
      <c r="Q313">
        <v>2</v>
      </c>
      <c r="R313" t="s">
        <v>1272</v>
      </c>
      <c r="S313" t="s">
        <v>1280</v>
      </c>
    </row>
    <row r="314" spans="1:19" hidden="1" x14ac:dyDescent="0.3">
      <c r="A314" t="s">
        <v>665</v>
      </c>
      <c r="B314" t="s">
        <v>666</v>
      </c>
      <c r="C314" t="s">
        <v>5</v>
      </c>
      <c r="D314">
        <v>11553</v>
      </c>
      <c r="E314" t="s">
        <v>623</v>
      </c>
      <c r="F314" t="s">
        <v>60</v>
      </c>
      <c r="G314" t="s">
        <v>624</v>
      </c>
      <c r="H314" t="s">
        <v>625</v>
      </c>
      <c r="I314" t="s">
        <v>31</v>
      </c>
      <c r="J314">
        <v>489</v>
      </c>
      <c r="K314" t="s">
        <v>626</v>
      </c>
      <c r="L314">
        <v>4</v>
      </c>
      <c r="M314">
        <v>12.2126</v>
      </c>
      <c r="P314" t="s">
        <v>33</v>
      </c>
      <c r="Q314">
        <v>0</v>
      </c>
      <c r="R314" t="s">
        <v>1272</v>
      </c>
      <c r="S314" t="s">
        <v>1292</v>
      </c>
    </row>
    <row r="315" spans="1:19" hidden="1" x14ac:dyDescent="0.3">
      <c r="A315" t="s">
        <v>665</v>
      </c>
      <c r="B315" t="s">
        <v>666</v>
      </c>
      <c r="C315" t="s">
        <v>5</v>
      </c>
      <c r="D315">
        <v>17487</v>
      </c>
      <c r="E315" t="s">
        <v>641</v>
      </c>
      <c r="F315" t="s">
        <v>155</v>
      </c>
      <c r="G315" t="s">
        <v>642</v>
      </c>
      <c r="H315" t="s">
        <v>643</v>
      </c>
      <c r="I315" t="s">
        <v>25</v>
      </c>
      <c r="J315">
        <v>827</v>
      </c>
      <c r="K315" t="s">
        <v>644</v>
      </c>
      <c r="N315">
        <v>4</v>
      </c>
      <c r="O315">
        <v>0.38329999999999997</v>
      </c>
      <c r="P315" t="s">
        <v>38</v>
      </c>
      <c r="Q315">
        <v>0</v>
      </c>
      <c r="R315" t="s">
        <v>1272</v>
      </c>
      <c r="S315" t="s">
        <v>1292</v>
      </c>
    </row>
    <row r="316" spans="1:19" hidden="1" x14ac:dyDescent="0.3">
      <c r="A316" t="s">
        <v>665</v>
      </c>
      <c r="B316" t="s">
        <v>666</v>
      </c>
      <c r="C316" t="s">
        <v>5</v>
      </c>
      <c r="D316">
        <v>18381</v>
      </c>
      <c r="E316" t="s">
        <v>684</v>
      </c>
      <c r="F316" t="s">
        <v>685</v>
      </c>
      <c r="G316" t="s">
        <v>686</v>
      </c>
      <c r="H316" t="s">
        <v>687</v>
      </c>
      <c r="I316" t="s">
        <v>25</v>
      </c>
      <c r="J316">
        <v>4038</v>
      </c>
      <c r="K316" t="s">
        <v>688</v>
      </c>
      <c r="L316">
        <v>5</v>
      </c>
      <c r="M316">
        <v>12.1454</v>
      </c>
      <c r="P316" t="s">
        <v>33</v>
      </c>
      <c r="Q316">
        <v>1</v>
      </c>
      <c r="R316" t="s">
        <v>1272</v>
      </c>
      <c r="S316" t="s">
        <v>1331</v>
      </c>
    </row>
    <row r="317" spans="1:19" hidden="1" x14ac:dyDescent="0.3">
      <c r="A317" t="s">
        <v>665</v>
      </c>
      <c r="B317" t="s">
        <v>666</v>
      </c>
      <c r="C317" t="s">
        <v>5</v>
      </c>
      <c r="D317">
        <v>20353</v>
      </c>
      <c r="E317" t="s">
        <v>164</v>
      </c>
      <c r="F317" t="s">
        <v>165</v>
      </c>
      <c r="G317" t="s">
        <v>41</v>
      </c>
      <c r="H317" t="s">
        <v>166</v>
      </c>
      <c r="I317" t="s">
        <v>31</v>
      </c>
      <c r="J317">
        <v>899</v>
      </c>
      <c r="K317" t="s">
        <v>167</v>
      </c>
      <c r="N317">
        <v>5</v>
      </c>
      <c r="O317">
        <v>0.3574</v>
      </c>
      <c r="P317" t="s">
        <v>38</v>
      </c>
      <c r="Q317">
        <v>0</v>
      </c>
      <c r="R317" t="s">
        <v>1272</v>
      </c>
      <c r="S317" t="s">
        <v>1292</v>
      </c>
    </row>
    <row r="318" spans="1:19" hidden="1" x14ac:dyDescent="0.3">
      <c r="A318" t="s">
        <v>665</v>
      </c>
      <c r="B318" t="s">
        <v>666</v>
      </c>
      <c r="C318" t="s">
        <v>5</v>
      </c>
      <c r="D318">
        <v>19317</v>
      </c>
      <c r="E318" t="s">
        <v>44</v>
      </c>
      <c r="F318" t="s">
        <v>45</v>
      </c>
      <c r="G318" t="s">
        <v>46</v>
      </c>
      <c r="H318" t="s">
        <v>47</v>
      </c>
      <c r="I318" t="s">
        <v>31</v>
      </c>
      <c r="J318">
        <v>4168</v>
      </c>
      <c r="K318" t="s">
        <v>48</v>
      </c>
      <c r="L318">
        <v>6</v>
      </c>
      <c r="M318">
        <v>11.9679</v>
      </c>
      <c r="P318" t="s">
        <v>33</v>
      </c>
      <c r="Q318">
        <v>0</v>
      </c>
      <c r="R318" t="s">
        <v>1272</v>
      </c>
      <c r="S318" t="s">
        <v>1329</v>
      </c>
    </row>
    <row r="319" spans="1:19" hidden="1" x14ac:dyDescent="0.3">
      <c r="A319" t="s">
        <v>665</v>
      </c>
      <c r="B319" t="s">
        <v>666</v>
      </c>
      <c r="C319" t="s">
        <v>5</v>
      </c>
      <c r="D319">
        <v>20632</v>
      </c>
      <c r="E319" t="s">
        <v>204</v>
      </c>
      <c r="F319" t="s">
        <v>205</v>
      </c>
      <c r="G319" t="s">
        <v>206</v>
      </c>
      <c r="H319" t="s">
        <v>207</v>
      </c>
      <c r="I319" t="s">
        <v>31</v>
      </c>
      <c r="J319">
        <v>411</v>
      </c>
      <c r="K319" t="s">
        <v>208</v>
      </c>
      <c r="N319">
        <v>6</v>
      </c>
      <c r="O319">
        <v>0.3553</v>
      </c>
      <c r="P319" t="s">
        <v>38</v>
      </c>
      <c r="Q319">
        <v>1</v>
      </c>
      <c r="R319" t="s">
        <v>1272</v>
      </c>
      <c r="S319" t="s">
        <v>1330</v>
      </c>
    </row>
    <row r="320" spans="1:19" hidden="1" x14ac:dyDescent="0.3">
      <c r="A320" t="s">
        <v>665</v>
      </c>
      <c r="B320" t="s">
        <v>666</v>
      </c>
      <c r="C320" t="s">
        <v>5</v>
      </c>
      <c r="D320">
        <v>8416</v>
      </c>
      <c r="E320" t="s">
        <v>689</v>
      </c>
      <c r="F320" t="s">
        <v>668</v>
      </c>
      <c r="G320" t="s">
        <v>690</v>
      </c>
      <c r="H320" t="s">
        <v>691</v>
      </c>
      <c r="I320" t="s">
        <v>25</v>
      </c>
      <c r="J320">
        <v>331</v>
      </c>
      <c r="K320" t="s">
        <v>692</v>
      </c>
      <c r="L320">
        <v>7</v>
      </c>
      <c r="M320">
        <v>11.854699999999999</v>
      </c>
      <c r="N320">
        <v>7</v>
      </c>
      <c r="O320">
        <v>0.35410000000000003</v>
      </c>
      <c r="P320" t="s">
        <v>27</v>
      </c>
      <c r="Q320">
        <v>1</v>
      </c>
      <c r="R320" t="s">
        <v>1272</v>
      </c>
      <c r="S320" t="s">
        <v>1331</v>
      </c>
    </row>
    <row r="321" spans="1:19" hidden="1" x14ac:dyDescent="0.3">
      <c r="A321" t="s">
        <v>665</v>
      </c>
      <c r="B321" t="s">
        <v>666</v>
      </c>
      <c r="C321" t="s">
        <v>5</v>
      </c>
      <c r="D321">
        <v>12265</v>
      </c>
      <c r="E321" t="s">
        <v>569</v>
      </c>
      <c r="F321" t="s">
        <v>570</v>
      </c>
      <c r="G321" t="s">
        <v>571</v>
      </c>
      <c r="H321" t="s">
        <v>572</v>
      </c>
      <c r="I321" t="s">
        <v>31</v>
      </c>
      <c r="J321">
        <v>227</v>
      </c>
      <c r="K321" t="s">
        <v>573</v>
      </c>
      <c r="L321">
        <v>8</v>
      </c>
      <c r="M321">
        <v>11.5001</v>
      </c>
      <c r="P321" t="s">
        <v>33</v>
      </c>
      <c r="Q321">
        <v>0</v>
      </c>
      <c r="R321" t="s">
        <v>1272</v>
      </c>
      <c r="S321" t="s">
        <v>1329</v>
      </c>
    </row>
    <row r="322" spans="1:19" hidden="1" x14ac:dyDescent="0.3">
      <c r="A322" t="s">
        <v>665</v>
      </c>
      <c r="B322" t="s">
        <v>666</v>
      </c>
      <c r="C322" t="s">
        <v>5</v>
      </c>
      <c r="D322">
        <v>12297</v>
      </c>
      <c r="E322" t="s">
        <v>90</v>
      </c>
      <c r="F322" t="s">
        <v>22</v>
      </c>
      <c r="G322" t="s">
        <v>91</v>
      </c>
      <c r="H322" t="s">
        <v>92</v>
      </c>
      <c r="I322" t="s">
        <v>31</v>
      </c>
      <c r="J322">
        <v>4056</v>
      </c>
      <c r="K322" t="s">
        <v>93</v>
      </c>
      <c r="N322">
        <v>8</v>
      </c>
      <c r="O322">
        <v>0.3503</v>
      </c>
      <c r="P322" t="s">
        <v>38</v>
      </c>
      <c r="Q322">
        <v>0</v>
      </c>
      <c r="R322" t="s">
        <v>1272</v>
      </c>
      <c r="S322" t="s">
        <v>1292</v>
      </c>
    </row>
    <row r="323" spans="1:19" hidden="1" x14ac:dyDescent="0.3">
      <c r="A323" t="s">
        <v>665</v>
      </c>
      <c r="B323" t="s">
        <v>666</v>
      </c>
      <c r="C323" t="s">
        <v>5</v>
      </c>
      <c r="D323">
        <v>2021</v>
      </c>
      <c r="E323" t="s">
        <v>582</v>
      </c>
      <c r="F323" t="s">
        <v>570</v>
      </c>
      <c r="G323" t="s">
        <v>583</v>
      </c>
      <c r="H323" t="s">
        <v>584</v>
      </c>
      <c r="I323" t="s">
        <v>25</v>
      </c>
      <c r="J323">
        <v>226</v>
      </c>
      <c r="K323" t="s">
        <v>585</v>
      </c>
      <c r="N323">
        <v>9</v>
      </c>
      <c r="O323">
        <v>0.34660000000000002</v>
      </c>
      <c r="P323" t="s">
        <v>38</v>
      </c>
      <c r="Q323">
        <v>0</v>
      </c>
      <c r="R323" t="s">
        <v>1272</v>
      </c>
      <c r="S323" t="s">
        <v>1329</v>
      </c>
    </row>
    <row r="324" spans="1:19" hidden="1" x14ac:dyDescent="0.3">
      <c r="A324" t="s">
        <v>665</v>
      </c>
      <c r="B324" t="s">
        <v>666</v>
      </c>
      <c r="C324" t="s">
        <v>5</v>
      </c>
      <c r="D324">
        <v>17785</v>
      </c>
      <c r="E324" t="s">
        <v>159</v>
      </c>
      <c r="F324" t="s">
        <v>160</v>
      </c>
      <c r="G324" t="s">
        <v>161</v>
      </c>
      <c r="H324" t="s">
        <v>162</v>
      </c>
      <c r="I324" t="s">
        <v>25</v>
      </c>
      <c r="J324">
        <v>935</v>
      </c>
      <c r="K324" t="s">
        <v>163</v>
      </c>
      <c r="N324">
        <v>10</v>
      </c>
      <c r="O324">
        <v>0.34599999999999997</v>
      </c>
      <c r="P324" t="s">
        <v>38</v>
      </c>
      <c r="Q324">
        <v>0</v>
      </c>
      <c r="R324" t="s">
        <v>1272</v>
      </c>
      <c r="S324" t="s">
        <v>1292</v>
      </c>
    </row>
    <row r="325" spans="1:19" hidden="1" x14ac:dyDescent="0.3">
      <c r="A325" t="s">
        <v>665</v>
      </c>
      <c r="B325" t="s">
        <v>666</v>
      </c>
      <c r="C325" t="s">
        <v>5</v>
      </c>
      <c r="D325">
        <v>20043</v>
      </c>
      <c r="E325" t="s">
        <v>412</v>
      </c>
      <c r="F325" t="s">
        <v>413</v>
      </c>
      <c r="G325" t="s">
        <v>414</v>
      </c>
      <c r="H325" t="s">
        <v>415</v>
      </c>
      <c r="I325" t="s">
        <v>25</v>
      </c>
      <c r="J325">
        <v>558</v>
      </c>
      <c r="K325" t="s">
        <v>416</v>
      </c>
      <c r="L325">
        <v>10</v>
      </c>
      <c r="M325">
        <v>10.842599999999999</v>
      </c>
      <c r="P325" t="s">
        <v>33</v>
      </c>
      <c r="Q325">
        <v>1</v>
      </c>
      <c r="R325" t="s">
        <v>1272</v>
      </c>
      <c r="S325" t="s">
        <v>1331</v>
      </c>
    </row>
    <row r="326" spans="1:19" hidden="1" x14ac:dyDescent="0.3">
      <c r="A326" t="s">
        <v>693</v>
      </c>
      <c r="B326" t="s">
        <v>694</v>
      </c>
      <c r="C326" t="s">
        <v>5</v>
      </c>
      <c r="D326">
        <v>171</v>
      </c>
      <c r="E326" t="s">
        <v>102</v>
      </c>
      <c r="F326" t="s">
        <v>103</v>
      </c>
      <c r="G326" t="s">
        <v>104</v>
      </c>
      <c r="H326" t="s">
        <v>105</v>
      </c>
      <c r="I326" t="s">
        <v>31</v>
      </c>
      <c r="J326">
        <v>474</v>
      </c>
      <c r="K326" t="s">
        <v>106</v>
      </c>
      <c r="L326">
        <v>1</v>
      </c>
      <c r="M326">
        <v>15.044700000000001</v>
      </c>
      <c r="N326">
        <v>1</v>
      </c>
      <c r="O326">
        <v>0.44790000000000002</v>
      </c>
      <c r="P326" t="s">
        <v>27</v>
      </c>
      <c r="Q326">
        <v>1</v>
      </c>
      <c r="R326" t="s">
        <v>1272</v>
      </c>
      <c r="S326" t="s">
        <v>1332</v>
      </c>
    </row>
    <row r="327" spans="1:19" hidden="1" x14ac:dyDescent="0.3">
      <c r="A327" t="s">
        <v>693</v>
      </c>
      <c r="B327" t="s">
        <v>694</v>
      </c>
      <c r="C327" t="s">
        <v>5</v>
      </c>
      <c r="D327">
        <v>18703</v>
      </c>
      <c r="E327" t="s">
        <v>116</v>
      </c>
      <c r="F327" t="s">
        <v>117</v>
      </c>
      <c r="G327" t="s">
        <v>118</v>
      </c>
      <c r="H327" t="s">
        <v>119</v>
      </c>
      <c r="I327" t="s">
        <v>31</v>
      </c>
      <c r="J327">
        <v>303</v>
      </c>
      <c r="K327" t="s">
        <v>120</v>
      </c>
      <c r="N327">
        <v>2</v>
      </c>
      <c r="O327">
        <v>0.41310000000000002</v>
      </c>
      <c r="P327" t="s">
        <v>38</v>
      </c>
      <c r="Q327">
        <v>0</v>
      </c>
      <c r="R327" t="s">
        <v>1272</v>
      </c>
      <c r="S327" t="s">
        <v>1275</v>
      </c>
    </row>
    <row r="328" spans="1:19" hidden="1" x14ac:dyDescent="0.3">
      <c r="A328" t="s">
        <v>693</v>
      </c>
      <c r="B328" t="s">
        <v>694</v>
      </c>
      <c r="C328" t="s">
        <v>5</v>
      </c>
      <c r="D328">
        <v>20043</v>
      </c>
      <c r="E328" t="s">
        <v>412</v>
      </c>
      <c r="F328" t="s">
        <v>413</v>
      </c>
      <c r="G328" t="s">
        <v>414</v>
      </c>
      <c r="H328" t="s">
        <v>415</v>
      </c>
      <c r="I328" t="s">
        <v>25</v>
      </c>
      <c r="J328">
        <v>558</v>
      </c>
      <c r="K328" t="s">
        <v>416</v>
      </c>
      <c r="L328">
        <v>2</v>
      </c>
      <c r="M328">
        <v>11.0634</v>
      </c>
      <c r="P328" t="s">
        <v>33</v>
      </c>
      <c r="Q328">
        <v>1</v>
      </c>
      <c r="R328" t="s">
        <v>1272</v>
      </c>
      <c r="S328" t="s">
        <v>1333</v>
      </c>
    </row>
    <row r="329" spans="1:19" hidden="1" x14ac:dyDescent="0.3">
      <c r="A329" t="s">
        <v>693</v>
      </c>
      <c r="B329" t="s">
        <v>694</v>
      </c>
      <c r="C329" t="s">
        <v>5</v>
      </c>
      <c r="D329">
        <v>20293</v>
      </c>
      <c r="E329" t="s">
        <v>419</v>
      </c>
      <c r="F329" t="s">
        <v>420</v>
      </c>
      <c r="G329" t="s">
        <v>421</v>
      </c>
      <c r="H329" t="s">
        <v>422</v>
      </c>
      <c r="I329" t="s">
        <v>25</v>
      </c>
      <c r="J329">
        <v>2164</v>
      </c>
      <c r="K329" t="s">
        <v>423</v>
      </c>
      <c r="L329">
        <v>3</v>
      </c>
      <c r="M329">
        <v>10.0099</v>
      </c>
      <c r="P329" t="s">
        <v>33</v>
      </c>
      <c r="Q329">
        <v>1</v>
      </c>
      <c r="R329" t="s">
        <v>1272</v>
      </c>
      <c r="S329" t="s">
        <v>1333</v>
      </c>
    </row>
    <row r="330" spans="1:19" hidden="1" x14ac:dyDescent="0.3">
      <c r="A330" t="s">
        <v>693</v>
      </c>
      <c r="B330" t="s">
        <v>694</v>
      </c>
      <c r="C330" t="s">
        <v>5</v>
      </c>
      <c r="D330">
        <v>20773</v>
      </c>
      <c r="E330" t="s">
        <v>109</v>
      </c>
      <c r="F330" t="s">
        <v>60</v>
      </c>
      <c r="G330" t="s">
        <v>41</v>
      </c>
      <c r="H330" t="s">
        <v>110</v>
      </c>
      <c r="I330" t="s">
        <v>25</v>
      </c>
      <c r="J330">
        <v>1156</v>
      </c>
      <c r="K330" t="s">
        <v>111</v>
      </c>
      <c r="N330">
        <v>3</v>
      </c>
      <c r="O330">
        <v>0.36780000000000002</v>
      </c>
      <c r="P330" t="s">
        <v>38</v>
      </c>
      <c r="Q330">
        <v>0</v>
      </c>
      <c r="R330" t="s">
        <v>1272</v>
      </c>
      <c r="S330" t="s">
        <v>1334</v>
      </c>
    </row>
    <row r="331" spans="1:19" hidden="1" x14ac:dyDescent="0.3">
      <c r="A331" t="s">
        <v>693</v>
      </c>
      <c r="B331" t="s">
        <v>694</v>
      </c>
      <c r="C331" t="s">
        <v>5</v>
      </c>
      <c r="D331">
        <v>11756</v>
      </c>
      <c r="E331" t="s">
        <v>695</v>
      </c>
      <c r="F331" t="s">
        <v>60</v>
      </c>
      <c r="G331" t="s">
        <v>696</v>
      </c>
      <c r="H331" t="s">
        <v>697</v>
      </c>
      <c r="I331" t="s">
        <v>31</v>
      </c>
      <c r="J331">
        <v>182</v>
      </c>
      <c r="K331" t="s">
        <v>698</v>
      </c>
      <c r="N331">
        <v>4</v>
      </c>
      <c r="O331">
        <v>0.36009999999999998</v>
      </c>
      <c r="P331" t="s">
        <v>38</v>
      </c>
      <c r="Q331">
        <v>0</v>
      </c>
      <c r="R331" t="s">
        <v>1272</v>
      </c>
      <c r="S331" t="s">
        <v>1275</v>
      </c>
    </row>
    <row r="332" spans="1:19" hidden="1" x14ac:dyDescent="0.3">
      <c r="A332" t="s">
        <v>693</v>
      </c>
      <c r="B332" t="s">
        <v>694</v>
      </c>
      <c r="C332" t="s">
        <v>5</v>
      </c>
      <c r="D332">
        <v>19282</v>
      </c>
      <c r="E332" t="s">
        <v>244</v>
      </c>
      <c r="F332" t="s">
        <v>245</v>
      </c>
      <c r="G332" t="s">
        <v>246</v>
      </c>
      <c r="H332" t="s">
        <v>247</v>
      </c>
      <c r="I332" t="s">
        <v>25</v>
      </c>
      <c r="J332">
        <v>814</v>
      </c>
      <c r="K332" t="s">
        <v>248</v>
      </c>
      <c r="L332">
        <v>4</v>
      </c>
      <c r="M332">
        <v>9.5344999999999995</v>
      </c>
      <c r="P332" t="s">
        <v>33</v>
      </c>
      <c r="Q332">
        <v>1</v>
      </c>
      <c r="R332" t="s">
        <v>1272</v>
      </c>
      <c r="S332" t="s">
        <v>1333</v>
      </c>
    </row>
    <row r="333" spans="1:19" hidden="1" x14ac:dyDescent="0.3">
      <c r="A333" t="s">
        <v>693</v>
      </c>
      <c r="B333" t="s">
        <v>694</v>
      </c>
      <c r="C333" t="s">
        <v>5</v>
      </c>
      <c r="D333">
        <v>20576</v>
      </c>
      <c r="E333" t="s">
        <v>699</v>
      </c>
      <c r="F333" t="s">
        <v>700</v>
      </c>
      <c r="G333" t="s">
        <v>701</v>
      </c>
      <c r="H333" t="s">
        <v>702</v>
      </c>
      <c r="I333" t="s">
        <v>25</v>
      </c>
      <c r="J333">
        <v>201</v>
      </c>
      <c r="K333" t="s">
        <v>703</v>
      </c>
      <c r="L333">
        <v>5</v>
      </c>
      <c r="M333">
        <v>8.9748000000000001</v>
      </c>
      <c r="P333" t="s">
        <v>33</v>
      </c>
      <c r="Q333">
        <v>1</v>
      </c>
      <c r="R333" t="s">
        <v>1272</v>
      </c>
      <c r="S333" t="s">
        <v>1333</v>
      </c>
    </row>
    <row r="334" spans="1:19" hidden="1" x14ac:dyDescent="0.3">
      <c r="A334" t="s">
        <v>693</v>
      </c>
      <c r="B334" t="s">
        <v>694</v>
      </c>
      <c r="C334" t="s">
        <v>5</v>
      </c>
      <c r="D334">
        <v>20775</v>
      </c>
      <c r="E334" t="s">
        <v>368</v>
      </c>
      <c r="F334" t="s">
        <v>369</v>
      </c>
      <c r="G334" t="s">
        <v>41</v>
      </c>
      <c r="H334" t="s">
        <v>370</v>
      </c>
      <c r="I334" t="s">
        <v>25</v>
      </c>
      <c r="J334">
        <v>912</v>
      </c>
      <c r="K334" t="s">
        <v>371</v>
      </c>
      <c r="N334">
        <v>5</v>
      </c>
      <c r="O334">
        <v>0.36</v>
      </c>
      <c r="P334" t="s">
        <v>38</v>
      </c>
      <c r="Q334">
        <v>0</v>
      </c>
      <c r="R334" t="s">
        <v>1272</v>
      </c>
      <c r="S334" t="s">
        <v>1334</v>
      </c>
    </row>
    <row r="335" spans="1:19" hidden="1" x14ac:dyDescent="0.3">
      <c r="A335" t="s">
        <v>693</v>
      </c>
      <c r="B335" t="s">
        <v>694</v>
      </c>
      <c r="C335" t="s">
        <v>5</v>
      </c>
      <c r="D335">
        <v>14103</v>
      </c>
      <c r="E335" t="s">
        <v>509</v>
      </c>
      <c r="F335" t="s">
        <v>74</v>
      </c>
      <c r="G335" t="s">
        <v>510</v>
      </c>
      <c r="H335" t="s">
        <v>511</v>
      </c>
      <c r="I335" t="s">
        <v>31</v>
      </c>
      <c r="J335">
        <v>290</v>
      </c>
      <c r="K335" t="s">
        <v>512</v>
      </c>
      <c r="N335">
        <v>6</v>
      </c>
      <c r="O335">
        <v>0.35780000000000001</v>
      </c>
      <c r="P335" t="s">
        <v>38</v>
      </c>
      <c r="Q335">
        <v>0</v>
      </c>
      <c r="R335" t="s">
        <v>1272</v>
      </c>
      <c r="S335" t="s">
        <v>1334</v>
      </c>
    </row>
    <row r="336" spans="1:19" hidden="1" x14ac:dyDescent="0.3">
      <c r="A336" t="s">
        <v>693</v>
      </c>
      <c r="B336" t="s">
        <v>694</v>
      </c>
      <c r="C336" t="s">
        <v>5</v>
      </c>
      <c r="D336">
        <v>18454</v>
      </c>
      <c r="E336" t="s">
        <v>704</v>
      </c>
      <c r="F336" t="s">
        <v>705</v>
      </c>
      <c r="G336" t="s">
        <v>706</v>
      </c>
      <c r="H336" t="s">
        <v>707</v>
      </c>
      <c r="I336" t="s">
        <v>31</v>
      </c>
      <c r="J336">
        <v>2302</v>
      </c>
      <c r="K336" t="s">
        <v>708</v>
      </c>
      <c r="L336">
        <v>6</v>
      </c>
      <c r="M336">
        <v>8.7592999999999996</v>
      </c>
      <c r="P336" t="s">
        <v>33</v>
      </c>
      <c r="Q336">
        <v>1</v>
      </c>
      <c r="R336" t="s">
        <v>1272</v>
      </c>
      <c r="S336" t="s">
        <v>1333</v>
      </c>
    </row>
    <row r="337" spans="1:19" hidden="1" x14ac:dyDescent="0.3">
      <c r="A337" t="s">
        <v>693</v>
      </c>
      <c r="B337" t="s">
        <v>694</v>
      </c>
      <c r="C337" t="s">
        <v>5</v>
      </c>
      <c r="D337">
        <v>11918</v>
      </c>
      <c r="E337" t="s">
        <v>133</v>
      </c>
      <c r="F337" t="s">
        <v>60</v>
      </c>
      <c r="G337" t="s">
        <v>134</v>
      </c>
      <c r="H337" t="s">
        <v>135</v>
      </c>
      <c r="I337" t="s">
        <v>25</v>
      </c>
      <c r="J337">
        <v>3604</v>
      </c>
      <c r="K337" t="s">
        <v>136</v>
      </c>
      <c r="N337">
        <v>7</v>
      </c>
      <c r="O337">
        <v>0.35759999999999997</v>
      </c>
      <c r="P337" t="s">
        <v>38</v>
      </c>
      <c r="Q337">
        <v>0</v>
      </c>
      <c r="R337" t="s">
        <v>1272</v>
      </c>
      <c r="S337" t="s">
        <v>1334</v>
      </c>
    </row>
    <row r="338" spans="1:19" hidden="1" x14ac:dyDescent="0.3">
      <c r="A338" t="s">
        <v>693</v>
      </c>
      <c r="B338" t="s">
        <v>694</v>
      </c>
      <c r="C338" t="s">
        <v>5</v>
      </c>
      <c r="D338">
        <v>17831</v>
      </c>
      <c r="E338" t="s">
        <v>709</v>
      </c>
      <c r="F338" t="s">
        <v>710</v>
      </c>
      <c r="G338" t="s">
        <v>711</v>
      </c>
      <c r="H338" t="s">
        <v>712</v>
      </c>
      <c r="I338" t="s">
        <v>31</v>
      </c>
      <c r="J338">
        <v>1053</v>
      </c>
      <c r="K338" t="s">
        <v>713</v>
      </c>
      <c r="L338">
        <v>7</v>
      </c>
      <c r="M338">
        <v>8.5863999999999994</v>
      </c>
      <c r="P338" t="s">
        <v>33</v>
      </c>
      <c r="Q338">
        <v>1</v>
      </c>
      <c r="R338" t="s">
        <v>1272</v>
      </c>
      <c r="S338" t="s">
        <v>1312</v>
      </c>
    </row>
    <row r="339" spans="1:19" hidden="1" x14ac:dyDescent="0.3">
      <c r="A339" t="s">
        <v>693</v>
      </c>
      <c r="B339" t="s">
        <v>694</v>
      </c>
      <c r="C339" t="s">
        <v>5</v>
      </c>
      <c r="D339">
        <v>13674</v>
      </c>
      <c r="E339" t="s">
        <v>78</v>
      </c>
      <c r="F339" t="s">
        <v>22</v>
      </c>
      <c r="G339" t="s">
        <v>79</v>
      </c>
      <c r="H339" t="s">
        <v>80</v>
      </c>
      <c r="I339" t="s">
        <v>31</v>
      </c>
      <c r="J339">
        <v>1127</v>
      </c>
      <c r="K339" t="s">
        <v>81</v>
      </c>
      <c r="N339">
        <v>8</v>
      </c>
      <c r="O339">
        <v>0.35499999999999998</v>
      </c>
      <c r="P339" t="s">
        <v>38</v>
      </c>
      <c r="Q339">
        <v>0</v>
      </c>
      <c r="R339" t="s">
        <v>1272</v>
      </c>
      <c r="S339" t="s">
        <v>1334</v>
      </c>
    </row>
    <row r="340" spans="1:19" hidden="1" x14ac:dyDescent="0.3">
      <c r="A340" t="s">
        <v>693</v>
      </c>
      <c r="B340" t="s">
        <v>694</v>
      </c>
      <c r="C340" t="s">
        <v>5</v>
      </c>
      <c r="D340">
        <v>20799</v>
      </c>
      <c r="E340" t="s">
        <v>493</v>
      </c>
      <c r="F340" t="s">
        <v>494</v>
      </c>
      <c r="G340" t="s">
        <v>495</v>
      </c>
      <c r="H340" t="s">
        <v>496</v>
      </c>
      <c r="I340" t="s">
        <v>25</v>
      </c>
      <c r="J340">
        <v>575</v>
      </c>
      <c r="K340" t="s">
        <v>497</v>
      </c>
      <c r="L340">
        <v>8</v>
      </c>
      <c r="M340">
        <v>8.5282999999999998</v>
      </c>
      <c r="P340" t="s">
        <v>33</v>
      </c>
      <c r="Q340">
        <v>1</v>
      </c>
      <c r="R340" t="s">
        <v>1272</v>
      </c>
      <c r="S340" t="s">
        <v>1333</v>
      </c>
    </row>
    <row r="341" spans="1:19" hidden="1" x14ac:dyDescent="0.3">
      <c r="A341" t="s">
        <v>693</v>
      </c>
      <c r="B341" t="s">
        <v>694</v>
      </c>
      <c r="C341" t="s">
        <v>5</v>
      </c>
      <c r="D341">
        <v>18853</v>
      </c>
      <c r="E341" t="s">
        <v>714</v>
      </c>
      <c r="F341" t="s">
        <v>715</v>
      </c>
      <c r="G341" t="s">
        <v>41</v>
      </c>
      <c r="H341" t="s">
        <v>716</v>
      </c>
      <c r="I341" t="s">
        <v>25</v>
      </c>
      <c r="J341">
        <v>540</v>
      </c>
      <c r="K341" t="s">
        <v>717</v>
      </c>
      <c r="L341">
        <v>9</v>
      </c>
      <c r="M341">
        <v>8.4276999999999997</v>
      </c>
      <c r="P341" t="s">
        <v>33</v>
      </c>
      <c r="Q341">
        <v>0</v>
      </c>
      <c r="R341" t="s">
        <v>1272</v>
      </c>
      <c r="S341" t="s">
        <v>1275</v>
      </c>
    </row>
    <row r="342" spans="1:19" hidden="1" x14ac:dyDescent="0.3">
      <c r="A342" t="s">
        <v>693</v>
      </c>
      <c r="B342" t="s">
        <v>694</v>
      </c>
      <c r="C342" t="s">
        <v>5</v>
      </c>
      <c r="D342">
        <v>18885</v>
      </c>
      <c r="E342" t="s">
        <v>86</v>
      </c>
      <c r="F342" t="s">
        <v>60</v>
      </c>
      <c r="G342" t="s">
        <v>87</v>
      </c>
      <c r="H342" t="s">
        <v>88</v>
      </c>
      <c r="I342" t="s">
        <v>31</v>
      </c>
      <c r="J342">
        <v>596</v>
      </c>
      <c r="K342" t="s">
        <v>89</v>
      </c>
      <c r="N342">
        <v>9</v>
      </c>
      <c r="O342">
        <v>0.35389999999999999</v>
      </c>
      <c r="P342" t="s">
        <v>38</v>
      </c>
      <c r="Q342">
        <v>0</v>
      </c>
      <c r="R342" t="s">
        <v>1272</v>
      </c>
      <c r="S342" t="s">
        <v>1334</v>
      </c>
    </row>
    <row r="343" spans="1:19" hidden="1" x14ac:dyDescent="0.3">
      <c r="A343" t="s">
        <v>693</v>
      </c>
      <c r="B343" t="s">
        <v>694</v>
      </c>
      <c r="C343" t="s">
        <v>5</v>
      </c>
      <c r="D343">
        <v>3074</v>
      </c>
      <c r="E343" t="s">
        <v>718</v>
      </c>
      <c r="F343" t="s">
        <v>60</v>
      </c>
      <c r="G343" t="s">
        <v>719</v>
      </c>
      <c r="H343" t="s">
        <v>720</v>
      </c>
      <c r="I343" t="s">
        <v>31</v>
      </c>
      <c r="J343">
        <v>207</v>
      </c>
      <c r="K343" t="s">
        <v>721</v>
      </c>
      <c r="N343">
        <v>10</v>
      </c>
      <c r="O343">
        <v>0.3488</v>
      </c>
      <c r="P343" t="s">
        <v>38</v>
      </c>
      <c r="Q343">
        <v>0</v>
      </c>
      <c r="R343" t="s">
        <v>1272</v>
      </c>
      <c r="S343" t="s">
        <v>1334</v>
      </c>
    </row>
    <row r="344" spans="1:19" hidden="1" x14ac:dyDescent="0.3">
      <c r="A344" t="s">
        <v>693</v>
      </c>
      <c r="B344" t="s">
        <v>694</v>
      </c>
      <c r="C344" t="s">
        <v>5</v>
      </c>
      <c r="D344">
        <v>9529</v>
      </c>
      <c r="E344" t="s">
        <v>606</v>
      </c>
      <c r="F344" t="s">
        <v>155</v>
      </c>
      <c r="G344" t="s">
        <v>41</v>
      </c>
      <c r="H344" t="s">
        <v>607</v>
      </c>
      <c r="I344" t="s">
        <v>25</v>
      </c>
      <c r="J344">
        <v>1417</v>
      </c>
      <c r="K344" t="s">
        <v>608</v>
      </c>
      <c r="L344">
        <v>10</v>
      </c>
      <c r="M344">
        <v>7.3699000000000003</v>
      </c>
      <c r="P344" t="s">
        <v>33</v>
      </c>
      <c r="Q344">
        <v>0</v>
      </c>
      <c r="R344" t="s">
        <v>1272</v>
      </c>
      <c r="S344" t="s">
        <v>1334</v>
      </c>
    </row>
    <row r="345" spans="1:19" hidden="1" x14ac:dyDescent="0.3">
      <c r="A345" t="s">
        <v>722</v>
      </c>
      <c r="B345" t="s">
        <v>723</v>
      </c>
      <c r="C345" t="s">
        <v>5</v>
      </c>
      <c r="D345">
        <v>18703</v>
      </c>
      <c r="E345" t="s">
        <v>116</v>
      </c>
      <c r="F345" t="s">
        <v>117</v>
      </c>
      <c r="G345" t="s">
        <v>118</v>
      </c>
      <c r="H345" t="s">
        <v>119</v>
      </c>
      <c r="I345" t="s">
        <v>31</v>
      </c>
      <c r="J345">
        <v>303</v>
      </c>
      <c r="K345" t="s">
        <v>120</v>
      </c>
      <c r="N345">
        <v>1</v>
      </c>
      <c r="O345">
        <v>0.48399999999999999</v>
      </c>
      <c r="P345" t="s">
        <v>38</v>
      </c>
      <c r="Q345">
        <v>2</v>
      </c>
      <c r="R345" t="s">
        <v>1272</v>
      </c>
      <c r="S345" t="s">
        <v>1280</v>
      </c>
    </row>
    <row r="346" spans="1:19" hidden="1" x14ac:dyDescent="0.3">
      <c r="A346" t="s">
        <v>722</v>
      </c>
      <c r="B346" t="s">
        <v>723</v>
      </c>
      <c r="C346" t="s">
        <v>5</v>
      </c>
      <c r="D346">
        <v>18746</v>
      </c>
      <c r="E346" t="s">
        <v>253</v>
      </c>
      <c r="F346" t="s">
        <v>254</v>
      </c>
      <c r="G346" t="s">
        <v>255</v>
      </c>
      <c r="H346" t="s">
        <v>256</v>
      </c>
      <c r="I346" t="s">
        <v>25</v>
      </c>
      <c r="J346">
        <v>1493</v>
      </c>
      <c r="K346" t="s">
        <v>257</v>
      </c>
      <c r="L346">
        <v>1</v>
      </c>
      <c r="M346">
        <v>12.460599999999999</v>
      </c>
      <c r="P346" t="s">
        <v>33</v>
      </c>
      <c r="Q346">
        <v>2</v>
      </c>
      <c r="R346" t="s">
        <v>1272</v>
      </c>
      <c r="S346" t="s">
        <v>1280</v>
      </c>
    </row>
    <row r="347" spans="1:19" hidden="1" x14ac:dyDescent="0.3">
      <c r="A347" t="s">
        <v>722</v>
      </c>
      <c r="B347" t="s">
        <v>723</v>
      </c>
      <c r="C347" t="s">
        <v>5</v>
      </c>
      <c r="D347">
        <v>18262</v>
      </c>
      <c r="E347" t="s">
        <v>141</v>
      </c>
      <c r="F347" t="s">
        <v>142</v>
      </c>
      <c r="G347" t="s">
        <v>143</v>
      </c>
      <c r="H347" t="s">
        <v>144</v>
      </c>
      <c r="I347" t="s">
        <v>25</v>
      </c>
      <c r="J347">
        <v>426</v>
      </c>
      <c r="K347" t="s">
        <v>145</v>
      </c>
      <c r="L347">
        <v>3</v>
      </c>
      <c r="M347">
        <v>9.6875999999999998</v>
      </c>
      <c r="N347">
        <v>2</v>
      </c>
      <c r="O347">
        <v>0.47470000000000001</v>
      </c>
      <c r="P347" t="s">
        <v>27</v>
      </c>
      <c r="Q347">
        <v>2</v>
      </c>
      <c r="R347" t="s">
        <v>1272</v>
      </c>
      <c r="S347" t="s">
        <v>1280</v>
      </c>
    </row>
    <row r="348" spans="1:19" hidden="1" x14ac:dyDescent="0.3">
      <c r="A348" t="s">
        <v>722</v>
      </c>
      <c r="B348" t="s">
        <v>723</v>
      </c>
      <c r="C348" t="s">
        <v>5</v>
      </c>
      <c r="D348">
        <v>20775</v>
      </c>
      <c r="E348" t="s">
        <v>368</v>
      </c>
      <c r="F348" t="s">
        <v>369</v>
      </c>
      <c r="G348" t="s">
        <v>41</v>
      </c>
      <c r="H348" t="s">
        <v>370</v>
      </c>
      <c r="I348" t="s">
        <v>25</v>
      </c>
      <c r="J348">
        <v>912</v>
      </c>
      <c r="K348" t="s">
        <v>371</v>
      </c>
      <c r="L348">
        <v>2</v>
      </c>
      <c r="M348">
        <v>10.51</v>
      </c>
      <c r="N348">
        <v>9</v>
      </c>
      <c r="O348">
        <v>0.41839999999999999</v>
      </c>
      <c r="P348" t="s">
        <v>27</v>
      </c>
      <c r="Q348">
        <v>2</v>
      </c>
      <c r="R348" t="s">
        <v>1272</v>
      </c>
      <c r="S348" t="s">
        <v>1280</v>
      </c>
    </row>
    <row r="349" spans="1:19" hidden="1" x14ac:dyDescent="0.3">
      <c r="A349" t="s">
        <v>722</v>
      </c>
      <c r="B349" t="s">
        <v>723</v>
      </c>
      <c r="C349" t="s">
        <v>5</v>
      </c>
      <c r="D349">
        <v>171</v>
      </c>
      <c r="E349" t="s">
        <v>102</v>
      </c>
      <c r="F349" t="s">
        <v>103</v>
      </c>
      <c r="G349" t="s">
        <v>104</v>
      </c>
      <c r="H349" t="s">
        <v>105</v>
      </c>
      <c r="I349" t="s">
        <v>31</v>
      </c>
      <c r="J349">
        <v>474</v>
      </c>
      <c r="K349" t="s">
        <v>106</v>
      </c>
      <c r="N349">
        <v>3</v>
      </c>
      <c r="O349">
        <v>0.44529999999999997</v>
      </c>
      <c r="P349" t="s">
        <v>38</v>
      </c>
      <c r="Q349">
        <v>0</v>
      </c>
      <c r="R349" t="s">
        <v>1272</v>
      </c>
      <c r="S349" t="s">
        <v>1292</v>
      </c>
    </row>
    <row r="350" spans="1:19" hidden="1" x14ac:dyDescent="0.3">
      <c r="A350" t="s">
        <v>722</v>
      </c>
      <c r="B350" t="s">
        <v>723</v>
      </c>
      <c r="C350" t="s">
        <v>5</v>
      </c>
      <c r="D350">
        <v>20359</v>
      </c>
      <c r="E350" t="s">
        <v>376</v>
      </c>
      <c r="F350" t="s">
        <v>377</v>
      </c>
      <c r="G350" t="s">
        <v>378</v>
      </c>
      <c r="H350" t="s">
        <v>379</v>
      </c>
      <c r="I350" t="s">
        <v>25</v>
      </c>
      <c r="J350">
        <v>452</v>
      </c>
      <c r="K350" t="s">
        <v>380</v>
      </c>
      <c r="L350">
        <v>4</v>
      </c>
      <c r="M350">
        <v>9.6700999999999997</v>
      </c>
      <c r="P350" t="s">
        <v>33</v>
      </c>
      <c r="Q350">
        <v>2</v>
      </c>
      <c r="R350" t="s">
        <v>1272</v>
      </c>
      <c r="S350" t="s">
        <v>1280</v>
      </c>
    </row>
    <row r="351" spans="1:19" hidden="1" x14ac:dyDescent="0.3">
      <c r="A351" t="s">
        <v>722</v>
      </c>
      <c r="B351" t="s">
        <v>723</v>
      </c>
      <c r="C351" t="s">
        <v>5</v>
      </c>
      <c r="D351">
        <v>20773</v>
      </c>
      <c r="E351" t="s">
        <v>109</v>
      </c>
      <c r="F351" t="s">
        <v>60</v>
      </c>
      <c r="G351" t="s">
        <v>41</v>
      </c>
      <c r="H351" t="s">
        <v>110</v>
      </c>
      <c r="I351" t="s">
        <v>25</v>
      </c>
      <c r="J351">
        <v>1156</v>
      </c>
      <c r="K351" t="s">
        <v>111</v>
      </c>
      <c r="N351">
        <v>4</v>
      </c>
      <c r="O351">
        <v>0.4385</v>
      </c>
      <c r="P351" t="s">
        <v>38</v>
      </c>
      <c r="Q351">
        <v>0</v>
      </c>
      <c r="R351" t="s">
        <v>1272</v>
      </c>
      <c r="S351" t="s">
        <v>1292</v>
      </c>
    </row>
    <row r="352" spans="1:19" hidden="1" x14ac:dyDescent="0.3">
      <c r="A352" t="s">
        <v>722</v>
      </c>
      <c r="B352" t="s">
        <v>723</v>
      </c>
      <c r="C352" t="s">
        <v>5</v>
      </c>
      <c r="D352">
        <v>13514</v>
      </c>
      <c r="E352" t="s">
        <v>64</v>
      </c>
      <c r="F352" t="s">
        <v>60</v>
      </c>
      <c r="G352" t="s">
        <v>65</v>
      </c>
      <c r="H352" t="s">
        <v>66</v>
      </c>
      <c r="I352" t="s">
        <v>31</v>
      </c>
      <c r="J352">
        <v>587</v>
      </c>
      <c r="K352" t="s">
        <v>67</v>
      </c>
      <c r="N352">
        <v>5</v>
      </c>
      <c r="O352">
        <v>0.42599999999999999</v>
      </c>
      <c r="P352" t="s">
        <v>38</v>
      </c>
      <c r="Q352">
        <v>0</v>
      </c>
      <c r="R352" t="s">
        <v>1272</v>
      </c>
      <c r="S352" t="s">
        <v>1292</v>
      </c>
    </row>
    <row r="353" spans="1:19" hidden="1" x14ac:dyDescent="0.3">
      <c r="A353" t="s">
        <v>722</v>
      </c>
      <c r="B353" t="s">
        <v>723</v>
      </c>
      <c r="C353" t="s">
        <v>5</v>
      </c>
      <c r="D353">
        <v>20259</v>
      </c>
      <c r="E353" t="s">
        <v>49</v>
      </c>
      <c r="F353" t="s">
        <v>50</v>
      </c>
      <c r="G353" t="s">
        <v>51</v>
      </c>
      <c r="H353" t="s">
        <v>52</v>
      </c>
      <c r="I353" t="s">
        <v>25</v>
      </c>
      <c r="J353">
        <v>313</v>
      </c>
      <c r="K353" t="s">
        <v>53</v>
      </c>
      <c r="L353">
        <v>5</v>
      </c>
      <c r="M353">
        <v>9.6502999999999997</v>
      </c>
      <c r="N353">
        <v>10</v>
      </c>
      <c r="O353">
        <v>0.41339999999999999</v>
      </c>
      <c r="P353" t="s">
        <v>27</v>
      </c>
      <c r="Q353">
        <v>2</v>
      </c>
      <c r="R353" t="s">
        <v>1272</v>
      </c>
      <c r="S353" t="s">
        <v>1280</v>
      </c>
    </row>
    <row r="354" spans="1:19" hidden="1" x14ac:dyDescent="0.3">
      <c r="A354" t="s">
        <v>722</v>
      </c>
      <c r="B354" t="s">
        <v>723</v>
      </c>
      <c r="C354" t="s">
        <v>5</v>
      </c>
      <c r="D354">
        <v>9820</v>
      </c>
      <c r="E354" t="s">
        <v>150</v>
      </c>
      <c r="F354" t="s">
        <v>60</v>
      </c>
      <c r="G354" t="s">
        <v>151</v>
      </c>
      <c r="H354" t="s">
        <v>152</v>
      </c>
      <c r="I354" t="s">
        <v>25</v>
      </c>
      <c r="J354">
        <v>2512</v>
      </c>
      <c r="K354" t="s">
        <v>153</v>
      </c>
      <c r="N354">
        <v>6</v>
      </c>
      <c r="O354">
        <v>0.4259</v>
      </c>
      <c r="P354" t="s">
        <v>38</v>
      </c>
      <c r="Q354">
        <v>0</v>
      </c>
      <c r="R354" t="s">
        <v>1272</v>
      </c>
      <c r="S354" t="s">
        <v>1292</v>
      </c>
    </row>
    <row r="355" spans="1:19" hidden="1" x14ac:dyDescent="0.3">
      <c r="A355" t="s">
        <v>722</v>
      </c>
      <c r="B355" t="s">
        <v>723</v>
      </c>
      <c r="C355" t="s">
        <v>5</v>
      </c>
      <c r="D355">
        <v>17792</v>
      </c>
      <c r="E355" t="s">
        <v>229</v>
      </c>
      <c r="F355" t="s">
        <v>230</v>
      </c>
      <c r="G355" t="s">
        <v>231</v>
      </c>
      <c r="H355" t="s">
        <v>232</v>
      </c>
      <c r="I355" t="s">
        <v>31</v>
      </c>
      <c r="J355">
        <v>564</v>
      </c>
      <c r="K355" t="s">
        <v>233</v>
      </c>
      <c r="L355">
        <v>6</v>
      </c>
      <c r="M355">
        <v>9.5564999999999998</v>
      </c>
      <c r="P355" t="s">
        <v>33</v>
      </c>
      <c r="Q355">
        <v>2</v>
      </c>
      <c r="R355" t="s">
        <v>1272</v>
      </c>
      <c r="S355" t="s">
        <v>1280</v>
      </c>
    </row>
    <row r="356" spans="1:19" hidden="1" x14ac:dyDescent="0.3">
      <c r="A356" t="s">
        <v>722</v>
      </c>
      <c r="B356" t="s">
        <v>723</v>
      </c>
      <c r="C356" t="s">
        <v>5</v>
      </c>
      <c r="D356">
        <v>12068</v>
      </c>
      <c r="E356" t="s">
        <v>121</v>
      </c>
      <c r="F356" t="s">
        <v>60</v>
      </c>
      <c r="G356" t="s">
        <v>122</v>
      </c>
      <c r="H356" t="s">
        <v>123</v>
      </c>
      <c r="I356" t="s">
        <v>31</v>
      </c>
      <c r="J356">
        <v>7237</v>
      </c>
      <c r="K356" t="s">
        <v>124</v>
      </c>
      <c r="N356">
        <v>7</v>
      </c>
      <c r="O356">
        <v>0.42220000000000002</v>
      </c>
      <c r="P356" t="s">
        <v>38</v>
      </c>
      <c r="Q356">
        <v>0</v>
      </c>
      <c r="R356" t="s">
        <v>1272</v>
      </c>
      <c r="S356" t="s">
        <v>1292</v>
      </c>
    </row>
    <row r="357" spans="1:19" hidden="1" x14ac:dyDescent="0.3">
      <c r="A357" t="s">
        <v>722</v>
      </c>
      <c r="B357" t="s">
        <v>723</v>
      </c>
      <c r="C357" t="s">
        <v>5</v>
      </c>
      <c r="D357">
        <v>20803</v>
      </c>
      <c r="E357" t="s">
        <v>94</v>
      </c>
      <c r="F357" t="s">
        <v>95</v>
      </c>
      <c r="G357" t="s">
        <v>96</v>
      </c>
      <c r="H357" t="s">
        <v>97</v>
      </c>
      <c r="I357" t="s">
        <v>31</v>
      </c>
      <c r="J357">
        <v>100</v>
      </c>
      <c r="K357" t="s">
        <v>98</v>
      </c>
      <c r="L357">
        <v>7</v>
      </c>
      <c r="M357">
        <v>9.2154000000000007</v>
      </c>
      <c r="N357">
        <v>8</v>
      </c>
      <c r="O357">
        <v>0.41959999999999997</v>
      </c>
      <c r="P357" t="s">
        <v>27</v>
      </c>
      <c r="Q357">
        <v>2</v>
      </c>
      <c r="R357" t="s">
        <v>1272</v>
      </c>
      <c r="S357" t="s">
        <v>1280</v>
      </c>
    </row>
    <row r="358" spans="1:19" hidden="1" x14ac:dyDescent="0.3">
      <c r="A358" t="s">
        <v>722</v>
      </c>
      <c r="B358" t="s">
        <v>723</v>
      </c>
      <c r="C358" t="s">
        <v>5</v>
      </c>
      <c r="D358">
        <v>19775</v>
      </c>
      <c r="E358" t="s">
        <v>456</v>
      </c>
      <c r="F358" t="s">
        <v>457</v>
      </c>
      <c r="G358" t="s">
        <v>458</v>
      </c>
      <c r="H358" t="s">
        <v>459</v>
      </c>
      <c r="I358" t="s">
        <v>25</v>
      </c>
      <c r="J358">
        <v>325</v>
      </c>
      <c r="K358" t="s">
        <v>460</v>
      </c>
      <c r="L358">
        <v>8</v>
      </c>
      <c r="M358">
        <v>8.9138000000000002</v>
      </c>
      <c r="P358" t="s">
        <v>33</v>
      </c>
      <c r="Q358">
        <v>2</v>
      </c>
      <c r="R358" t="s">
        <v>1272</v>
      </c>
      <c r="S358" t="s">
        <v>1280</v>
      </c>
    </row>
    <row r="359" spans="1:19" hidden="1" x14ac:dyDescent="0.3">
      <c r="A359" t="s">
        <v>722</v>
      </c>
      <c r="B359" t="s">
        <v>723</v>
      </c>
      <c r="C359" t="s">
        <v>5</v>
      </c>
      <c r="D359">
        <v>20801</v>
      </c>
      <c r="E359" t="s">
        <v>724</v>
      </c>
      <c r="F359" t="s">
        <v>725</v>
      </c>
      <c r="G359" t="s">
        <v>726</v>
      </c>
      <c r="H359" t="s">
        <v>727</v>
      </c>
      <c r="I359" t="s">
        <v>25</v>
      </c>
      <c r="J359">
        <v>853</v>
      </c>
      <c r="K359" t="s">
        <v>728</v>
      </c>
      <c r="L359">
        <v>9</v>
      </c>
      <c r="M359">
        <v>8.6159999999999997</v>
      </c>
      <c r="P359" t="s">
        <v>33</v>
      </c>
      <c r="Q359">
        <v>2</v>
      </c>
      <c r="R359" t="s">
        <v>1272</v>
      </c>
      <c r="S359" t="s">
        <v>1280</v>
      </c>
    </row>
    <row r="360" spans="1:19" hidden="1" x14ac:dyDescent="0.3">
      <c r="A360" t="s">
        <v>722</v>
      </c>
      <c r="B360" t="s">
        <v>723</v>
      </c>
      <c r="C360" t="s">
        <v>5</v>
      </c>
      <c r="D360">
        <v>18075</v>
      </c>
      <c r="E360" t="s">
        <v>372</v>
      </c>
      <c r="F360" t="s">
        <v>230</v>
      </c>
      <c r="G360" t="s">
        <v>373</v>
      </c>
      <c r="H360" t="s">
        <v>374</v>
      </c>
      <c r="I360" t="s">
        <v>31</v>
      </c>
      <c r="J360">
        <v>272</v>
      </c>
      <c r="K360" t="s">
        <v>375</v>
      </c>
      <c r="L360">
        <v>10</v>
      </c>
      <c r="M360">
        <v>7.8582000000000001</v>
      </c>
      <c r="P360" t="s">
        <v>33</v>
      </c>
      <c r="Q360">
        <v>2</v>
      </c>
      <c r="R360" t="s">
        <v>1272</v>
      </c>
      <c r="S360" t="s">
        <v>1280</v>
      </c>
    </row>
    <row r="361" spans="1:19" hidden="1" x14ac:dyDescent="0.3">
      <c r="A361" t="s">
        <v>729</v>
      </c>
      <c r="B361" t="s">
        <v>730</v>
      </c>
      <c r="C361" t="s">
        <v>731</v>
      </c>
      <c r="D361">
        <v>2385</v>
      </c>
      <c r="E361" t="s">
        <v>284</v>
      </c>
      <c r="F361" t="s">
        <v>60</v>
      </c>
      <c r="G361" t="s">
        <v>41</v>
      </c>
      <c r="H361" t="s">
        <v>285</v>
      </c>
      <c r="I361" t="s">
        <v>25</v>
      </c>
      <c r="J361">
        <v>1160</v>
      </c>
      <c r="K361" t="s">
        <v>286</v>
      </c>
      <c r="N361">
        <v>1</v>
      </c>
      <c r="O361">
        <v>0.39700000000000002</v>
      </c>
      <c r="P361" t="s">
        <v>38</v>
      </c>
      <c r="Q361">
        <v>1</v>
      </c>
      <c r="R361" t="s">
        <v>1272</v>
      </c>
      <c r="S361" t="s">
        <v>1335</v>
      </c>
    </row>
    <row r="362" spans="1:19" hidden="1" x14ac:dyDescent="0.3">
      <c r="A362" t="s">
        <v>729</v>
      </c>
      <c r="B362" t="s">
        <v>730</v>
      </c>
      <c r="C362" t="s">
        <v>731</v>
      </c>
      <c r="D362">
        <v>14198</v>
      </c>
      <c r="E362" t="s">
        <v>73</v>
      </c>
      <c r="F362" t="s">
        <v>74</v>
      </c>
      <c r="G362" t="s">
        <v>75</v>
      </c>
      <c r="H362" t="s">
        <v>76</v>
      </c>
      <c r="I362" t="s">
        <v>31</v>
      </c>
      <c r="J362">
        <v>377</v>
      </c>
      <c r="K362" t="s">
        <v>77</v>
      </c>
      <c r="L362">
        <v>1</v>
      </c>
      <c r="M362">
        <v>6.4572000000000003</v>
      </c>
      <c r="P362" t="s">
        <v>33</v>
      </c>
      <c r="Q362">
        <v>1</v>
      </c>
      <c r="R362" t="s">
        <v>1272</v>
      </c>
      <c r="S362" t="s">
        <v>1335</v>
      </c>
    </row>
    <row r="363" spans="1:19" hidden="1" x14ac:dyDescent="0.3">
      <c r="A363" t="s">
        <v>729</v>
      </c>
      <c r="B363" t="s">
        <v>730</v>
      </c>
      <c r="C363" t="s">
        <v>731</v>
      </c>
      <c r="D363">
        <v>12662</v>
      </c>
      <c r="E363" t="s">
        <v>313</v>
      </c>
      <c r="F363" t="s">
        <v>155</v>
      </c>
      <c r="G363" t="s">
        <v>314</v>
      </c>
      <c r="H363" t="s">
        <v>315</v>
      </c>
      <c r="I363" t="s">
        <v>31</v>
      </c>
      <c r="J363">
        <v>711</v>
      </c>
      <c r="K363" t="s">
        <v>316</v>
      </c>
      <c r="N363">
        <v>2</v>
      </c>
      <c r="O363">
        <v>0.38879999999999998</v>
      </c>
      <c r="P363" t="s">
        <v>38</v>
      </c>
      <c r="Q363">
        <v>2</v>
      </c>
      <c r="R363" t="s">
        <v>1272</v>
      </c>
      <c r="S363" t="s">
        <v>1280</v>
      </c>
    </row>
    <row r="364" spans="1:19" hidden="1" x14ac:dyDescent="0.3">
      <c r="A364" t="s">
        <v>729</v>
      </c>
      <c r="B364" t="s">
        <v>730</v>
      </c>
      <c r="C364" t="s">
        <v>731</v>
      </c>
      <c r="D364">
        <v>13681</v>
      </c>
      <c r="E364" t="s">
        <v>112</v>
      </c>
      <c r="F364" t="s">
        <v>74</v>
      </c>
      <c r="G364" t="s">
        <v>113</v>
      </c>
      <c r="H364" t="s">
        <v>114</v>
      </c>
      <c r="I364" t="s">
        <v>31</v>
      </c>
      <c r="J364">
        <v>580</v>
      </c>
      <c r="K364" t="s">
        <v>115</v>
      </c>
      <c r="L364">
        <v>2</v>
      </c>
      <c r="M364">
        <v>5.3426</v>
      </c>
      <c r="P364" t="s">
        <v>33</v>
      </c>
      <c r="Q364">
        <v>2</v>
      </c>
      <c r="R364" t="s">
        <v>1272</v>
      </c>
      <c r="S364" t="s">
        <v>1280</v>
      </c>
    </row>
    <row r="365" spans="1:19" hidden="1" x14ac:dyDescent="0.3">
      <c r="A365" t="s">
        <v>729</v>
      </c>
      <c r="B365" t="s">
        <v>730</v>
      </c>
      <c r="C365" t="s">
        <v>731</v>
      </c>
      <c r="D365">
        <v>19019</v>
      </c>
      <c r="E365" t="s">
        <v>296</v>
      </c>
      <c r="F365" t="s">
        <v>297</v>
      </c>
      <c r="G365" t="s">
        <v>298</v>
      </c>
      <c r="H365" t="s">
        <v>299</v>
      </c>
      <c r="I365" t="s">
        <v>25</v>
      </c>
      <c r="J365">
        <v>999</v>
      </c>
      <c r="K365" t="s">
        <v>300</v>
      </c>
      <c r="N365">
        <v>3</v>
      </c>
      <c r="O365">
        <v>0.37890000000000001</v>
      </c>
      <c r="P365" t="s">
        <v>38</v>
      </c>
      <c r="Q365">
        <v>1</v>
      </c>
      <c r="R365" t="s">
        <v>1272</v>
      </c>
      <c r="S365" t="s">
        <v>1335</v>
      </c>
    </row>
    <row r="366" spans="1:19" hidden="1" x14ac:dyDescent="0.3">
      <c r="A366" t="s">
        <v>729</v>
      </c>
      <c r="B366" t="s">
        <v>730</v>
      </c>
      <c r="C366" t="s">
        <v>731</v>
      </c>
      <c r="D366">
        <v>20772</v>
      </c>
      <c r="E366" t="s">
        <v>292</v>
      </c>
      <c r="F366" t="s">
        <v>293</v>
      </c>
      <c r="G366" t="s">
        <v>41</v>
      </c>
      <c r="H366" t="s">
        <v>294</v>
      </c>
      <c r="I366" t="s">
        <v>25</v>
      </c>
      <c r="J366">
        <v>787</v>
      </c>
      <c r="K366" t="s">
        <v>295</v>
      </c>
      <c r="L366">
        <v>3</v>
      </c>
      <c r="M366">
        <v>4.5633999999999997</v>
      </c>
      <c r="P366" t="s">
        <v>33</v>
      </c>
      <c r="Q366">
        <v>1</v>
      </c>
      <c r="R366" t="s">
        <v>1272</v>
      </c>
      <c r="S366" t="s">
        <v>1335</v>
      </c>
    </row>
    <row r="367" spans="1:19" hidden="1" x14ac:dyDescent="0.3">
      <c r="A367" t="s">
        <v>729</v>
      </c>
      <c r="B367" t="s">
        <v>730</v>
      </c>
      <c r="C367" t="s">
        <v>731</v>
      </c>
      <c r="D367">
        <v>13970</v>
      </c>
      <c r="E367" t="s">
        <v>287</v>
      </c>
      <c r="F367" t="s">
        <v>288</v>
      </c>
      <c r="G367" t="s">
        <v>289</v>
      </c>
      <c r="H367" t="s">
        <v>290</v>
      </c>
      <c r="I367" t="s">
        <v>31</v>
      </c>
      <c r="J367">
        <v>670</v>
      </c>
      <c r="K367" t="s">
        <v>291</v>
      </c>
      <c r="N367">
        <v>4</v>
      </c>
      <c r="O367">
        <v>0.376</v>
      </c>
      <c r="P367" t="s">
        <v>38</v>
      </c>
      <c r="Q367">
        <v>2</v>
      </c>
      <c r="R367" t="s">
        <v>1272</v>
      </c>
      <c r="S367" t="s">
        <v>1280</v>
      </c>
    </row>
    <row r="368" spans="1:19" hidden="1" x14ac:dyDescent="0.3">
      <c r="A368" t="s">
        <v>729</v>
      </c>
      <c r="B368" t="s">
        <v>730</v>
      </c>
      <c r="C368" t="s">
        <v>731</v>
      </c>
      <c r="D368">
        <v>18746</v>
      </c>
      <c r="E368" t="s">
        <v>253</v>
      </c>
      <c r="F368" t="s">
        <v>254</v>
      </c>
      <c r="G368" t="s">
        <v>255</v>
      </c>
      <c r="H368" t="s">
        <v>256</v>
      </c>
      <c r="I368" t="s">
        <v>25</v>
      </c>
      <c r="J368">
        <v>1493</v>
      </c>
      <c r="K368" t="s">
        <v>257</v>
      </c>
      <c r="L368">
        <v>4</v>
      </c>
      <c r="M368">
        <v>4.4920999999999998</v>
      </c>
      <c r="P368" t="s">
        <v>33</v>
      </c>
      <c r="Q368">
        <v>1</v>
      </c>
      <c r="R368" t="s">
        <v>1272</v>
      </c>
      <c r="S368" t="s">
        <v>1335</v>
      </c>
    </row>
    <row r="369" spans="1:19" hidden="1" x14ac:dyDescent="0.3">
      <c r="A369" t="s">
        <v>729</v>
      </c>
      <c r="B369" t="s">
        <v>730</v>
      </c>
      <c r="C369" t="s">
        <v>731</v>
      </c>
      <c r="D369">
        <v>17133</v>
      </c>
      <c r="E369" t="s">
        <v>306</v>
      </c>
      <c r="F369" t="s">
        <v>155</v>
      </c>
      <c r="G369" t="s">
        <v>187</v>
      </c>
      <c r="H369" t="s">
        <v>307</v>
      </c>
      <c r="I369" t="s">
        <v>31</v>
      </c>
      <c r="J369">
        <v>469</v>
      </c>
      <c r="K369" t="s">
        <v>308</v>
      </c>
      <c r="N369">
        <v>5</v>
      </c>
      <c r="O369">
        <v>0.3735</v>
      </c>
      <c r="P369" t="s">
        <v>38</v>
      </c>
      <c r="Q369">
        <v>2</v>
      </c>
      <c r="R369" t="s">
        <v>1272</v>
      </c>
      <c r="S369" t="s">
        <v>1280</v>
      </c>
    </row>
    <row r="370" spans="1:19" hidden="1" x14ac:dyDescent="0.3">
      <c r="A370" t="s">
        <v>729</v>
      </c>
      <c r="B370" t="s">
        <v>730</v>
      </c>
      <c r="C370" t="s">
        <v>731</v>
      </c>
      <c r="D370">
        <v>17650</v>
      </c>
      <c r="E370" t="s">
        <v>195</v>
      </c>
      <c r="F370" t="s">
        <v>155</v>
      </c>
      <c r="G370" t="s">
        <v>196</v>
      </c>
      <c r="H370" t="s">
        <v>197</v>
      </c>
      <c r="I370" t="s">
        <v>25</v>
      </c>
      <c r="J370">
        <v>700</v>
      </c>
      <c r="K370" t="s">
        <v>198</v>
      </c>
      <c r="L370">
        <v>5</v>
      </c>
      <c r="M370">
        <v>4.4919000000000002</v>
      </c>
      <c r="P370" t="s">
        <v>33</v>
      </c>
      <c r="Q370">
        <v>0</v>
      </c>
      <c r="R370" t="s">
        <v>1272</v>
      </c>
      <c r="S370" t="s">
        <v>1334</v>
      </c>
    </row>
    <row r="371" spans="1:19" hidden="1" x14ac:dyDescent="0.3">
      <c r="A371" t="s">
        <v>729</v>
      </c>
      <c r="B371" t="s">
        <v>730</v>
      </c>
      <c r="C371" t="s">
        <v>731</v>
      </c>
      <c r="D371">
        <v>16100</v>
      </c>
      <c r="E371" t="s">
        <v>732</v>
      </c>
      <c r="F371" t="s">
        <v>155</v>
      </c>
      <c r="G371" t="s">
        <v>472</v>
      </c>
      <c r="H371" t="s">
        <v>733</v>
      </c>
      <c r="I371" t="s">
        <v>31</v>
      </c>
      <c r="J371">
        <v>1444</v>
      </c>
      <c r="K371" t="s">
        <v>734</v>
      </c>
      <c r="N371">
        <v>6</v>
      </c>
      <c r="O371">
        <v>0.37330000000000002</v>
      </c>
      <c r="P371" t="s">
        <v>38</v>
      </c>
      <c r="Q371">
        <v>2</v>
      </c>
      <c r="R371" t="s">
        <v>1272</v>
      </c>
      <c r="S371" t="s">
        <v>1280</v>
      </c>
    </row>
    <row r="372" spans="1:19" hidden="1" x14ac:dyDescent="0.3">
      <c r="A372" t="s">
        <v>729</v>
      </c>
      <c r="B372" t="s">
        <v>730</v>
      </c>
      <c r="C372" t="s">
        <v>731</v>
      </c>
      <c r="D372">
        <v>20650</v>
      </c>
      <c r="E372" t="s">
        <v>309</v>
      </c>
      <c r="F372" t="s">
        <v>60</v>
      </c>
      <c r="G372" t="s">
        <v>310</v>
      </c>
      <c r="H372" t="s">
        <v>311</v>
      </c>
      <c r="I372" t="s">
        <v>25</v>
      </c>
      <c r="J372">
        <v>878</v>
      </c>
      <c r="K372" t="s">
        <v>312</v>
      </c>
      <c r="L372">
        <v>6</v>
      </c>
      <c r="M372">
        <v>4.1566999999999998</v>
      </c>
      <c r="P372" t="s">
        <v>33</v>
      </c>
      <c r="Q372">
        <v>2</v>
      </c>
      <c r="R372" t="s">
        <v>1272</v>
      </c>
      <c r="S372" t="s">
        <v>1280</v>
      </c>
    </row>
    <row r="373" spans="1:19" hidden="1" x14ac:dyDescent="0.3">
      <c r="A373" t="s">
        <v>729</v>
      </c>
      <c r="B373" t="s">
        <v>730</v>
      </c>
      <c r="C373" t="s">
        <v>731</v>
      </c>
      <c r="D373">
        <v>6637</v>
      </c>
      <c r="E373" t="s">
        <v>735</v>
      </c>
      <c r="F373" t="s">
        <v>60</v>
      </c>
      <c r="G373" t="s">
        <v>736</v>
      </c>
      <c r="H373" t="s">
        <v>737</v>
      </c>
      <c r="I373" t="s">
        <v>25</v>
      </c>
      <c r="J373">
        <v>1382</v>
      </c>
      <c r="K373" t="s">
        <v>738</v>
      </c>
      <c r="N373">
        <v>7</v>
      </c>
      <c r="O373">
        <v>0.36930000000000002</v>
      </c>
      <c r="P373" t="s">
        <v>38</v>
      </c>
      <c r="Q373">
        <v>1</v>
      </c>
      <c r="R373" t="s">
        <v>1272</v>
      </c>
      <c r="S373" t="s">
        <v>1335</v>
      </c>
    </row>
    <row r="374" spans="1:19" hidden="1" x14ac:dyDescent="0.3">
      <c r="A374" t="s">
        <v>729</v>
      </c>
      <c r="B374" t="s">
        <v>730</v>
      </c>
      <c r="C374" t="s">
        <v>731</v>
      </c>
      <c r="D374">
        <v>16102</v>
      </c>
      <c r="E374" t="s">
        <v>186</v>
      </c>
      <c r="F374" t="s">
        <v>155</v>
      </c>
      <c r="G374" t="s">
        <v>187</v>
      </c>
      <c r="H374" t="s">
        <v>188</v>
      </c>
      <c r="I374" t="s">
        <v>25</v>
      </c>
      <c r="J374">
        <v>8766</v>
      </c>
      <c r="K374" t="s">
        <v>189</v>
      </c>
      <c r="L374">
        <v>7</v>
      </c>
      <c r="M374">
        <v>4.0852000000000004</v>
      </c>
      <c r="P374" t="s">
        <v>33</v>
      </c>
      <c r="Q374">
        <v>2</v>
      </c>
      <c r="R374" t="s">
        <v>1272</v>
      </c>
      <c r="S374" t="s">
        <v>1280</v>
      </c>
    </row>
    <row r="375" spans="1:19" hidden="1" x14ac:dyDescent="0.3">
      <c r="A375" t="s">
        <v>729</v>
      </c>
      <c r="B375" t="s">
        <v>730</v>
      </c>
      <c r="C375" t="s">
        <v>731</v>
      </c>
      <c r="D375">
        <v>17649</v>
      </c>
      <c r="E375" t="s">
        <v>209</v>
      </c>
      <c r="F375" t="s">
        <v>155</v>
      </c>
      <c r="G375" t="s">
        <v>210</v>
      </c>
      <c r="H375" t="s">
        <v>211</v>
      </c>
      <c r="I375" t="s">
        <v>31</v>
      </c>
      <c r="J375">
        <v>471</v>
      </c>
      <c r="K375" t="s">
        <v>212</v>
      </c>
      <c r="L375">
        <v>8</v>
      </c>
      <c r="M375">
        <v>4.0757000000000003</v>
      </c>
      <c r="P375" t="s">
        <v>33</v>
      </c>
      <c r="Q375">
        <v>1</v>
      </c>
      <c r="R375" t="s">
        <v>1272</v>
      </c>
      <c r="S375" t="s">
        <v>1335</v>
      </c>
    </row>
    <row r="376" spans="1:19" hidden="1" x14ac:dyDescent="0.3">
      <c r="A376" t="s">
        <v>729</v>
      </c>
      <c r="B376" t="s">
        <v>730</v>
      </c>
      <c r="C376" t="s">
        <v>731</v>
      </c>
      <c r="D376">
        <v>20776</v>
      </c>
      <c r="E376" t="s">
        <v>739</v>
      </c>
      <c r="F376" t="s">
        <v>740</v>
      </c>
      <c r="G376" t="s">
        <v>741</v>
      </c>
      <c r="H376" t="s">
        <v>742</v>
      </c>
      <c r="I376" t="s">
        <v>31</v>
      </c>
      <c r="J376">
        <v>386</v>
      </c>
      <c r="K376" t="s">
        <v>743</v>
      </c>
      <c r="N376">
        <v>8</v>
      </c>
      <c r="O376">
        <v>0.36749999999999999</v>
      </c>
      <c r="P376" t="s">
        <v>38</v>
      </c>
      <c r="Q376">
        <v>1</v>
      </c>
      <c r="R376" t="s">
        <v>1272</v>
      </c>
      <c r="S376" t="s">
        <v>1335</v>
      </c>
    </row>
    <row r="377" spans="1:19" hidden="1" x14ac:dyDescent="0.3">
      <c r="A377" t="s">
        <v>729</v>
      </c>
      <c r="B377" t="s">
        <v>730</v>
      </c>
      <c r="C377" t="s">
        <v>731</v>
      </c>
      <c r="D377">
        <v>10730</v>
      </c>
      <c r="E377" t="s">
        <v>317</v>
      </c>
      <c r="F377" t="s">
        <v>60</v>
      </c>
      <c r="G377" t="s">
        <v>318</v>
      </c>
      <c r="H377" t="s">
        <v>319</v>
      </c>
      <c r="I377" t="s">
        <v>25</v>
      </c>
      <c r="J377">
        <v>800</v>
      </c>
      <c r="K377" t="s">
        <v>320</v>
      </c>
      <c r="L377">
        <v>9</v>
      </c>
      <c r="M377">
        <v>3.8066</v>
      </c>
      <c r="P377" t="s">
        <v>33</v>
      </c>
      <c r="Q377">
        <v>2</v>
      </c>
      <c r="R377" t="s">
        <v>1272</v>
      </c>
      <c r="S377" t="s">
        <v>1280</v>
      </c>
    </row>
    <row r="378" spans="1:19" hidden="1" x14ac:dyDescent="0.3">
      <c r="A378" t="s">
        <v>729</v>
      </c>
      <c r="B378" t="s">
        <v>730</v>
      </c>
      <c r="C378" t="s">
        <v>731</v>
      </c>
      <c r="D378">
        <v>19312</v>
      </c>
      <c r="E378" t="s">
        <v>321</v>
      </c>
      <c r="F378" t="s">
        <v>322</v>
      </c>
      <c r="G378" t="s">
        <v>323</v>
      </c>
      <c r="H378" t="s">
        <v>324</v>
      </c>
      <c r="I378" t="s">
        <v>31</v>
      </c>
      <c r="J378">
        <v>2453</v>
      </c>
      <c r="K378" t="s">
        <v>325</v>
      </c>
      <c r="N378">
        <v>9</v>
      </c>
      <c r="O378">
        <v>0.36680000000000001</v>
      </c>
      <c r="P378" t="s">
        <v>38</v>
      </c>
      <c r="Q378">
        <v>1</v>
      </c>
      <c r="R378" t="s">
        <v>1272</v>
      </c>
      <c r="S378" t="s">
        <v>1335</v>
      </c>
    </row>
    <row r="379" spans="1:19" hidden="1" x14ac:dyDescent="0.3">
      <c r="A379" t="s">
        <v>729</v>
      </c>
      <c r="B379" t="s">
        <v>730</v>
      </c>
      <c r="C379" t="s">
        <v>731</v>
      </c>
      <c r="D379">
        <v>4828</v>
      </c>
      <c r="E379" t="s">
        <v>54</v>
      </c>
      <c r="F379" t="s">
        <v>55</v>
      </c>
      <c r="G379" t="s">
        <v>56</v>
      </c>
      <c r="H379" t="s">
        <v>57</v>
      </c>
      <c r="I379" t="s">
        <v>25</v>
      </c>
      <c r="J379">
        <v>546</v>
      </c>
      <c r="K379" t="s">
        <v>58</v>
      </c>
      <c r="L379">
        <v>10</v>
      </c>
      <c r="M379">
        <v>3.7827999999999999</v>
      </c>
      <c r="P379" t="s">
        <v>33</v>
      </c>
      <c r="Q379">
        <v>0</v>
      </c>
      <c r="R379" t="s">
        <v>1272</v>
      </c>
      <c r="S379" t="s">
        <v>1275</v>
      </c>
    </row>
    <row r="380" spans="1:19" hidden="1" x14ac:dyDescent="0.3">
      <c r="A380" t="s">
        <v>729</v>
      </c>
      <c r="B380" t="s">
        <v>730</v>
      </c>
      <c r="C380" t="s">
        <v>731</v>
      </c>
      <c r="D380">
        <v>17762</v>
      </c>
      <c r="E380" t="s">
        <v>441</v>
      </c>
      <c r="F380" t="s">
        <v>425</v>
      </c>
      <c r="G380" t="s">
        <v>442</v>
      </c>
      <c r="H380" t="s">
        <v>443</v>
      </c>
      <c r="I380" t="s">
        <v>31</v>
      </c>
      <c r="J380">
        <v>1580</v>
      </c>
      <c r="K380" t="s">
        <v>444</v>
      </c>
      <c r="N380">
        <v>10</v>
      </c>
      <c r="O380">
        <v>0.36620000000000003</v>
      </c>
      <c r="P380" t="s">
        <v>38</v>
      </c>
      <c r="Q380">
        <v>2</v>
      </c>
      <c r="R380" t="s">
        <v>1272</v>
      </c>
      <c r="S380" t="s">
        <v>1280</v>
      </c>
    </row>
    <row r="381" spans="1:19" hidden="1" x14ac:dyDescent="0.3">
      <c r="A381" t="s">
        <v>744</v>
      </c>
      <c r="B381" t="s">
        <v>745</v>
      </c>
      <c r="C381" t="s">
        <v>731</v>
      </c>
      <c r="D381">
        <v>19982</v>
      </c>
      <c r="E381" t="s">
        <v>28</v>
      </c>
      <c r="F381" t="s">
        <v>22</v>
      </c>
      <c r="G381" t="s">
        <v>29</v>
      </c>
      <c r="H381" t="s">
        <v>30</v>
      </c>
      <c r="I381" t="s">
        <v>31</v>
      </c>
      <c r="J381">
        <v>543</v>
      </c>
      <c r="K381" t="s">
        <v>32</v>
      </c>
      <c r="L381">
        <v>1</v>
      </c>
      <c r="M381">
        <v>8.2436000000000007</v>
      </c>
      <c r="P381" t="s">
        <v>33</v>
      </c>
      <c r="Q381">
        <v>1</v>
      </c>
      <c r="R381" t="s">
        <v>1272</v>
      </c>
      <c r="S381" t="s">
        <v>1335</v>
      </c>
    </row>
    <row r="382" spans="1:19" hidden="1" x14ac:dyDescent="0.3">
      <c r="A382" t="s">
        <v>744</v>
      </c>
      <c r="B382" t="s">
        <v>745</v>
      </c>
      <c r="C382" t="s">
        <v>731</v>
      </c>
      <c r="D382">
        <v>20773</v>
      </c>
      <c r="E382" t="s">
        <v>109</v>
      </c>
      <c r="F382" t="s">
        <v>60</v>
      </c>
      <c r="G382" t="s">
        <v>41</v>
      </c>
      <c r="H382" t="s">
        <v>110</v>
      </c>
      <c r="I382" t="s">
        <v>25</v>
      </c>
      <c r="J382">
        <v>1156</v>
      </c>
      <c r="K382" t="s">
        <v>111</v>
      </c>
      <c r="N382">
        <v>1</v>
      </c>
      <c r="O382">
        <v>0.42780000000000001</v>
      </c>
      <c r="P382" t="s">
        <v>38</v>
      </c>
      <c r="Q382">
        <v>1</v>
      </c>
      <c r="R382" t="s">
        <v>1272</v>
      </c>
      <c r="S382" t="s">
        <v>1335</v>
      </c>
    </row>
    <row r="383" spans="1:19" hidden="1" x14ac:dyDescent="0.3">
      <c r="A383" t="s">
        <v>744</v>
      </c>
      <c r="B383" t="s">
        <v>745</v>
      </c>
      <c r="C383" t="s">
        <v>731</v>
      </c>
      <c r="D383">
        <v>171</v>
      </c>
      <c r="E383" t="s">
        <v>102</v>
      </c>
      <c r="F383" t="s">
        <v>103</v>
      </c>
      <c r="G383" t="s">
        <v>104</v>
      </c>
      <c r="H383" t="s">
        <v>105</v>
      </c>
      <c r="I383" t="s">
        <v>31</v>
      </c>
      <c r="J383">
        <v>474</v>
      </c>
      <c r="K383" t="s">
        <v>106</v>
      </c>
      <c r="N383">
        <v>2</v>
      </c>
      <c r="O383">
        <v>0.42159999999999997</v>
      </c>
      <c r="P383" t="s">
        <v>38</v>
      </c>
      <c r="Q383">
        <v>0</v>
      </c>
      <c r="R383" t="s">
        <v>1272</v>
      </c>
      <c r="S383" t="s">
        <v>1336</v>
      </c>
    </row>
    <row r="384" spans="1:19" hidden="1" x14ac:dyDescent="0.3">
      <c r="A384" t="s">
        <v>744</v>
      </c>
      <c r="B384" t="s">
        <v>745</v>
      </c>
      <c r="C384" t="s">
        <v>731</v>
      </c>
      <c r="D384">
        <v>19710</v>
      </c>
      <c r="E384" t="s">
        <v>199</v>
      </c>
      <c r="F384" t="s">
        <v>200</v>
      </c>
      <c r="G384" t="s">
        <v>201</v>
      </c>
      <c r="H384" t="s">
        <v>202</v>
      </c>
      <c r="I384" t="s">
        <v>31</v>
      </c>
      <c r="J384">
        <v>262</v>
      </c>
      <c r="K384" t="s">
        <v>203</v>
      </c>
      <c r="L384">
        <v>2</v>
      </c>
      <c r="M384">
        <v>8.0874000000000006</v>
      </c>
      <c r="P384" t="s">
        <v>33</v>
      </c>
      <c r="Q384">
        <v>0</v>
      </c>
      <c r="R384" t="s">
        <v>1272</v>
      </c>
      <c r="S384" t="s">
        <v>1275</v>
      </c>
    </row>
    <row r="385" spans="1:19" hidden="1" x14ac:dyDescent="0.3">
      <c r="A385" t="s">
        <v>744</v>
      </c>
      <c r="B385" t="s">
        <v>745</v>
      </c>
      <c r="C385" t="s">
        <v>731</v>
      </c>
      <c r="D385">
        <v>17533</v>
      </c>
      <c r="E385" t="s">
        <v>746</v>
      </c>
      <c r="F385" t="s">
        <v>60</v>
      </c>
      <c r="G385" t="s">
        <v>719</v>
      </c>
      <c r="H385" t="s">
        <v>747</v>
      </c>
      <c r="I385" t="s">
        <v>25</v>
      </c>
      <c r="J385">
        <v>907</v>
      </c>
      <c r="K385" t="s">
        <v>748</v>
      </c>
      <c r="L385">
        <v>3</v>
      </c>
      <c r="M385">
        <v>7.1923000000000004</v>
      </c>
      <c r="P385" t="s">
        <v>33</v>
      </c>
      <c r="Q385">
        <v>2</v>
      </c>
      <c r="R385" t="s">
        <v>1272</v>
      </c>
      <c r="S385" t="s">
        <v>1280</v>
      </c>
    </row>
    <row r="386" spans="1:19" hidden="1" x14ac:dyDescent="0.3">
      <c r="A386" t="s">
        <v>744</v>
      </c>
      <c r="B386" t="s">
        <v>745</v>
      </c>
      <c r="C386" t="s">
        <v>731</v>
      </c>
      <c r="D386">
        <v>18703</v>
      </c>
      <c r="E386" t="s">
        <v>116</v>
      </c>
      <c r="F386" t="s">
        <v>117</v>
      </c>
      <c r="G386" t="s">
        <v>118</v>
      </c>
      <c r="H386" t="s">
        <v>119</v>
      </c>
      <c r="I386" t="s">
        <v>31</v>
      </c>
      <c r="J386">
        <v>303</v>
      </c>
      <c r="K386" t="s">
        <v>120</v>
      </c>
      <c r="N386">
        <v>3</v>
      </c>
      <c r="O386">
        <v>0.41860000000000003</v>
      </c>
      <c r="P386" t="s">
        <v>38</v>
      </c>
      <c r="Q386">
        <v>0</v>
      </c>
      <c r="R386" t="s">
        <v>1272</v>
      </c>
      <c r="S386" t="s">
        <v>1275</v>
      </c>
    </row>
    <row r="387" spans="1:19" hidden="1" x14ac:dyDescent="0.3">
      <c r="A387" t="s">
        <v>744</v>
      </c>
      <c r="B387" t="s">
        <v>745</v>
      </c>
      <c r="C387" t="s">
        <v>731</v>
      </c>
      <c r="D387">
        <v>10730</v>
      </c>
      <c r="E387" t="s">
        <v>317</v>
      </c>
      <c r="F387" t="s">
        <v>60</v>
      </c>
      <c r="G387" t="s">
        <v>318</v>
      </c>
      <c r="H387" t="s">
        <v>319</v>
      </c>
      <c r="I387" t="s">
        <v>25</v>
      </c>
      <c r="J387">
        <v>800</v>
      </c>
      <c r="K387" t="s">
        <v>320</v>
      </c>
      <c r="L387">
        <v>4</v>
      </c>
      <c r="M387">
        <v>6.6791999999999998</v>
      </c>
      <c r="P387" t="s">
        <v>33</v>
      </c>
      <c r="Q387">
        <v>2</v>
      </c>
      <c r="R387" t="s">
        <v>1272</v>
      </c>
      <c r="S387" t="s">
        <v>1280</v>
      </c>
    </row>
    <row r="388" spans="1:19" hidden="1" x14ac:dyDescent="0.3">
      <c r="A388" t="s">
        <v>744</v>
      </c>
      <c r="B388" t="s">
        <v>745</v>
      </c>
      <c r="C388" t="s">
        <v>731</v>
      </c>
      <c r="D388">
        <v>14222</v>
      </c>
      <c r="E388" t="s">
        <v>749</v>
      </c>
      <c r="F388" t="s">
        <v>60</v>
      </c>
      <c r="G388" t="s">
        <v>696</v>
      </c>
      <c r="H388" t="s">
        <v>750</v>
      </c>
      <c r="I388" t="s">
        <v>25</v>
      </c>
      <c r="J388">
        <v>835</v>
      </c>
      <c r="K388" t="s">
        <v>751</v>
      </c>
      <c r="N388">
        <v>4</v>
      </c>
      <c r="O388">
        <v>0.41839999999999999</v>
      </c>
      <c r="P388" t="s">
        <v>38</v>
      </c>
      <c r="Q388">
        <v>2</v>
      </c>
      <c r="R388" t="s">
        <v>1272</v>
      </c>
      <c r="S388" t="s">
        <v>1280</v>
      </c>
    </row>
    <row r="389" spans="1:19" hidden="1" x14ac:dyDescent="0.3">
      <c r="A389" t="s">
        <v>744</v>
      </c>
      <c r="B389" t="s">
        <v>745</v>
      </c>
      <c r="C389" t="s">
        <v>731</v>
      </c>
      <c r="D389">
        <v>10180</v>
      </c>
      <c r="E389" t="s">
        <v>752</v>
      </c>
      <c r="F389" t="s">
        <v>60</v>
      </c>
      <c r="G389" t="s">
        <v>753</v>
      </c>
      <c r="H389" t="s">
        <v>754</v>
      </c>
      <c r="I389" t="s">
        <v>25</v>
      </c>
      <c r="J389">
        <v>1055</v>
      </c>
      <c r="K389" t="s">
        <v>755</v>
      </c>
      <c r="L389">
        <v>5</v>
      </c>
      <c r="M389">
        <v>5.7987000000000002</v>
      </c>
      <c r="P389" t="s">
        <v>33</v>
      </c>
      <c r="Q389">
        <v>2</v>
      </c>
      <c r="R389" t="s">
        <v>1272</v>
      </c>
      <c r="S389" t="s">
        <v>1280</v>
      </c>
    </row>
    <row r="390" spans="1:19" hidden="1" x14ac:dyDescent="0.3">
      <c r="A390" t="s">
        <v>744</v>
      </c>
      <c r="B390" t="s">
        <v>745</v>
      </c>
      <c r="C390" t="s">
        <v>731</v>
      </c>
      <c r="D390">
        <v>12068</v>
      </c>
      <c r="E390" t="s">
        <v>121</v>
      </c>
      <c r="F390" t="s">
        <v>60</v>
      </c>
      <c r="G390" t="s">
        <v>122</v>
      </c>
      <c r="H390" t="s">
        <v>123</v>
      </c>
      <c r="I390" t="s">
        <v>31</v>
      </c>
      <c r="J390">
        <v>7237</v>
      </c>
      <c r="K390" t="s">
        <v>124</v>
      </c>
      <c r="N390">
        <v>5</v>
      </c>
      <c r="O390">
        <v>0.41349999999999998</v>
      </c>
      <c r="P390" t="s">
        <v>38</v>
      </c>
      <c r="Q390">
        <v>2</v>
      </c>
      <c r="R390" t="s">
        <v>1272</v>
      </c>
      <c r="S390" t="s">
        <v>1280</v>
      </c>
    </row>
    <row r="391" spans="1:19" hidden="1" x14ac:dyDescent="0.3">
      <c r="A391" t="s">
        <v>744</v>
      </c>
      <c r="B391" t="s">
        <v>745</v>
      </c>
      <c r="C391" t="s">
        <v>731</v>
      </c>
      <c r="D391">
        <v>11464</v>
      </c>
      <c r="E391" t="s">
        <v>463</v>
      </c>
      <c r="F391" t="s">
        <v>60</v>
      </c>
      <c r="G391" t="s">
        <v>464</v>
      </c>
      <c r="H391" t="s">
        <v>465</v>
      </c>
      <c r="I391" t="s">
        <v>31</v>
      </c>
      <c r="J391">
        <v>695</v>
      </c>
      <c r="K391" t="s">
        <v>466</v>
      </c>
      <c r="N391">
        <v>6</v>
      </c>
      <c r="O391">
        <v>0.40329999999999999</v>
      </c>
      <c r="P391" t="s">
        <v>38</v>
      </c>
      <c r="Q391">
        <v>2</v>
      </c>
      <c r="R391" t="s">
        <v>1272</v>
      </c>
      <c r="S391" t="s">
        <v>1280</v>
      </c>
    </row>
    <row r="392" spans="1:19" hidden="1" x14ac:dyDescent="0.3">
      <c r="A392" t="s">
        <v>744</v>
      </c>
      <c r="B392" t="s">
        <v>745</v>
      </c>
      <c r="C392" t="s">
        <v>731</v>
      </c>
      <c r="D392">
        <v>13237</v>
      </c>
      <c r="E392" t="s">
        <v>137</v>
      </c>
      <c r="F392" t="s">
        <v>60</v>
      </c>
      <c r="G392" t="s">
        <v>138</v>
      </c>
      <c r="H392" t="s">
        <v>139</v>
      </c>
      <c r="I392" t="s">
        <v>31</v>
      </c>
      <c r="J392">
        <v>1213</v>
      </c>
      <c r="K392" t="s">
        <v>140</v>
      </c>
      <c r="L392">
        <v>6</v>
      </c>
      <c r="M392">
        <v>5.5342000000000002</v>
      </c>
      <c r="N392">
        <v>8</v>
      </c>
      <c r="O392">
        <v>0.40179999999999999</v>
      </c>
      <c r="P392" t="s">
        <v>27</v>
      </c>
      <c r="Q392">
        <v>2</v>
      </c>
      <c r="R392" t="s">
        <v>1272</v>
      </c>
      <c r="S392" t="s">
        <v>1280</v>
      </c>
    </row>
    <row r="393" spans="1:19" hidden="1" x14ac:dyDescent="0.3">
      <c r="A393" t="s">
        <v>744</v>
      </c>
      <c r="B393" t="s">
        <v>745</v>
      </c>
      <c r="C393" t="s">
        <v>731</v>
      </c>
      <c r="D393">
        <v>15013</v>
      </c>
      <c r="E393" t="s">
        <v>59</v>
      </c>
      <c r="F393" t="s">
        <v>60</v>
      </c>
      <c r="G393" t="s">
        <v>61</v>
      </c>
      <c r="H393" t="s">
        <v>62</v>
      </c>
      <c r="I393" t="s">
        <v>25</v>
      </c>
      <c r="J393">
        <v>550</v>
      </c>
      <c r="K393" t="s">
        <v>63</v>
      </c>
      <c r="N393">
        <v>7</v>
      </c>
      <c r="O393">
        <v>0.40260000000000001</v>
      </c>
      <c r="P393" t="s">
        <v>38</v>
      </c>
      <c r="Q393">
        <v>2</v>
      </c>
      <c r="R393" t="s">
        <v>1272</v>
      </c>
      <c r="S393" t="s">
        <v>1280</v>
      </c>
    </row>
    <row r="394" spans="1:19" hidden="1" x14ac:dyDescent="0.3">
      <c r="A394" t="s">
        <v>744</v>
      </c>
      <c r="B394" t="s">
        <v>745</v>
      </c>
      <c r="C394" t="s">
        <v>731</v>
      </c>
      <c r="D394">
        <v>19317</v>
      </c>
      <c r="E394" t="s">
        <v>44</v>
      </c>
      <c r="F394" t="s">
        <v>45</v>
      </c>
      <c r="G394" t="s">
        <v>46</v>
      </c>
      <c r="H394" t="s">
        <v>47</v>
      </c>
      <c r="I394" t="s">
        <v>31</v>
      </c>
      <c r="J394">
        <v>4168</v>
      </c>
      <c r="K394" t="s">
        <v>48</v>
      </c>
      <c r="L394">
        <v>7</v>
      </c>
      <c r="M394">
        <v>5.5274999999999999</v>
      </c>
      <c r="P394" t="s">
        <v>33</v>
      </c>
      <c r="Q394">
        <v>2</v>
      </c>
      <c r="R394" t="s">
        <v>1272</v>
      </c>
      <c r="S394" t="s">
        <v>1280</v>
      </c>
    </row>
    <row r="395" spans="1:19" hidden="1" x14ac:dyDescent="0.3">
      <c r="A395" t="s">
        <v>744</v>
      </c>
      <c r="B395" t="s">
        <v>745</v>
      </c>
      <c r="C395" t="s">
        <v>731</v>
      </c>
      <c r="D395">
        <v>15839</v>
      </c>
      <c r="E395" t="s">
        <v>154</v>
      </c>
      <c r="F395" t="s">
        <v>155</v>
      </c>
      <c r="G395" t="s">
        <v>156</v>
      </c>
      <c r="H395" t="s">
        <v>157</v>
      </c>
      <c r="I395" t="s">
        <v>25</v>
      </c>
      <c r="J395">
        <v>298</v>
      </c>
      <c r="K395" t="s">
        <v>158</v>
      </c>
      <c r="L395">
        <v>8</v>
      </c>
      <c r="M395">
        <v>5.4630999999999998</v>
      </c>
      <c r="P395" t="s">
        <v>33</v>
      </c>
      <c r="Q395">
        <v>0</v>
      </c>
      <c r="R395" t="s">
        <v>1272</v>
      </c>
      <c r="S395" t="s">
        <v>1275</v>
      </c>
    </row>
    <row r="396" spans="1:19" hidden="1" x14ac:dyDescent="0.3">
      <c r="A396" t="s">
        <v>744</v>
      </c>
      <c r="B396" t="s">
        <v>745</v>
      </c>
      <c r="C396" t="s">
        <v>731</v>
      </c>
      <c r="D396">
        <v>19625</v>
      </c>
      <c r="E396" t="s">
        <v>146</v>
      </c>
      <c r="F396" t="s">
        <v>60</v>
      </c>
      <c r="G396" t="s">
        <v>147</v>
      </c>
      <c r="H396" t="s">
        <v>148</v>
      </c>
      <c r="I396" t="s">
        <v>31</v>
      </c>
      <c r="J396">
        <v>588</v>
      </c>
      <c r="K396" t="s">
        <v>149</v>
      </c>
      <c r="L396">
        <v>9</v>
      </c>
      <c r="M396">
        <v>5.3669000000000002</v>
      </c>
      <c r="P396" t="s">
        <v>33</v>
      </c>
      <c r="Q396">
        <v>2</v>
      </c>
      <c r="R396" t="s">
        <v>1272</v>
      </c>
      <c r="S396" t="s">
        <v>1280</v>
      </c>
    </row>
    <row r="397" spans="1:19" hidden="1" x14ac:dyDescent="0.3">
      <c r="A397" t="s">
        <v>744</v>
      </c>
      <c r="B397" t="s">
        <v>745</v>
      </c>
      <c r="C397" t="s">
        <v>731</v>
      </c>
      <c r="D397">
        <v>20775</v>
      </c>
      <c r="E397" t="s">
        <v>368</v>
      </c>
      <c r="F397" t="s">
        <v>369</v>
      </c>
      <c r="G397" t="s">
        <v>41</v>
      </c>
      <c r="H397" t="s">
        <v>370</v>
      </c>
      <c r="I397" t="s">
        <v>25</v>
      </c>
      <c r="J397">
        <v>912</v>
      </c>
      <c r="K397" t="s">
        <v>371</v>
      </c>
      <c r="N397">
        <v>9</v>
      </c>
      <c r="O397">
        <v>0.40100000000000002</v>
      </c>
      <c r="P397" t="s">
        <v>38</v>
      </c>
      <c r="Q397">
        <v>1</v>
      </c>
      <c r="R397" t="s">
        <v>1272</v>
      </c>
      <c r="S397" t="s">
        <v>1335</v>
      </c>
    </row>
    <row r="398" spans="1:19" hidden="1" x14ac:dyDescent="0.3">
      <c r="A398" t="s">
        <v>744</v>
      </c>
      <c r="B398" t="s">
        <v>745</v>
      </c>
      <c r="C398" t="s">
        <v>731</v>
      </c>
      <c r="D398">
        <v>9820</v>
      </c>
      <c r="E398" t="s">
        <v>150</v>
      </c>
      <c r="F398" t="s">
        <v>60</v>
      </c>
      <c r="G398" t="s">
        <v>151</v>
      </c>
      <c r="H398" t="s">
        <v>152</v>
      </c>
      <c r="I398" t="s">
        <v>25</v>
      </c>
      <c r="J398">
        <v>2512</v>
      </c>
      <c r="K398" t="s">
        <v>153</v>
      </c>
      <c r="N398">
        <v>10</v>
      </c>
      <c r="O398">
        <v>0.40060000000000001</v>
      </c>
      <c r="P398" t="s">
        <v>38</v>
      </c>
      <c r="Q398">
        <v>1</v>
      </c>
      <c r="R398" t="s">
        <v>1272</v>
      </c>
      <c r="S398" t="s">
        <v>1335</v>
      </c>
    </row>
    <row r="399" spans="1:19" hidden="1" x14ac:dyDescent="0.3">
      <c r="A399" t="s">
        <v>744</v>
      </c>
      <c r="B399" t="s">
        <v>745</v>
      </c>
      <c r="C399" t="s">
        <v>731</v>
      </c>
      <c r="D399">
        <v>12764</v>
      </c>
      <c r="E399" t="s">
        <v>125</v>
      </c>
      <c r="F399" t="s">
        <v>60</v>
      </c>
      <c r="G399" t="s">
        <v>126</v>
      </c>
      <c r="H399" t="s">
        <v>127</v>
      </c>
      <c r="I399" t="s">
        <v>31</v>
      </c>
      <c r="J399">
        <v>442</v>
      </c>
      <c r="K399" t="s">
        <v>128</v>
      </c>
      <c r="L399">
        <v>10</v>
      </c>
      <c r="M399">
        <v>5.1985999999999999</v>
      </c>
      <c r="P399" t="s">
        <v>33</v>
      </c>
      <c r="Q399">
        <v>2</v>
      </c>
      <c r="R399" t="s">
        <v>1272</v>
      </c>
      <c r="S399" t="s">
        <v>1280</v>
      </c>
    </row>
    <row r="400" spans="1:19" hidden="1" x14ac:dyDescent="0.3">
      <c r="A400" t="s">
        <v>756</v>
      </c>
      <c r="B400" t="s">
        <v>757</v>
      </c>
      <c r="C400" t="s">
        <v>731</v>
      </c>
      <c r="D400">
        <v>17785</v>
      </c>
      <c r="E400" t="s">
        <v>159</v>
      </c>
      <c r="F400" t="s">
        <v>160</v>
      </c>
      <c r="G400" t="s">
        <v>161</v>
      </c>
      <c r="H400" t="s">
        <v>162</v>
      </c>
      <c r="I400" t="s">
        <v>25</v>
      </c>
      <c r="J400">
        <v>935</v>
      </c>
      <c r="K400" t="s">
        <v>163</v>
      </c>
      <c r="L400">
        <v>1</v>
      </c>
      <c r="M400">
        <v>7.4621000000000004</v>
      </c>
      <c r="P400" t="s">
        <v>33</v>
      </c>
      <c r="Q400">
        <v>2</v>
      </c>
      <c r="R400" t="s">
        <v>1272</v>
      </c>
      <c r="S400" t="s">
        <v>1280</v>
      </c>
    </row>
    <row r="401" spans="1:19" hidden="1" x14ac:dyDescent="0.3">
      <c r="A401" t="s">
        <v>756</v>
      </c>
      <c r="B401" t="s">
        <v>757</v>
      </c>
      <c r="C401" t="s">
        <v>731</v>
      </c>
      <c r="D401">
        <v>18885</v>
      </c>
      <c r="E401" t="s">
        <v>86</v>
      </c>
      <c r="F401" t="s">
        <v>60</v>
      </c>
      <c r="G401" t="s">
        <v>87</v>
      </c>
      <c r="H401" t="s">
        <v>88</v>
      </c>
      <c r="I401" t="s">
        <v>31</v>
      </c>
      <c r="J401">
        <v>596</v>
      </c>
      <c r="K401" t="s">
        <v>89</v>
      </c>
      <c r="N401">
        <v>1</v>
      </c>
      <c r="O401">
        <v>0.44159999999999999</v>
      </c>
      <c r="P401" t="s">
        <v>38</v>
      </c>
      <c r="Q401">
        <v>2</v>
      </c>
      <c r="R401" t="s">
        <v>1272</v>
      </c>
      <c r="S401" t="s">
        <v>1280</v>
      </c>
    </row>
    <row r="402" spans="1:19" hidden="1" x14ac:dyDescent="0.3">
      <c r="A402" t="s">
        <v>756</v>
      </c>
      <c r="B402" t="s">
        <v>757</v>
      </c>
      <c r="C402" t="s">
        <v>731</v>
      </c>
      <c r="D402">
        <v>11918</v>
      </c>
      <c r="E402" t="s">
        <v>133</v>
      </c>
      <c r="F402" t="s">
        <v>60</v>
      </c>
      <c r="G402" t="s">
        <v>134</v>
      </c>
      <c r="H402" t="s">
        <v>135</v>
      </c>
      <c r="I402" t="s">
        <v>25</v>
      </c>
      <c r="J402">
        <v>3604</v>
      </c>
      <c r="K402" t="s">
        <v>136</v>
      </c>
      <c r="L402">
        <v>3</v>
      </c>
      <c r="M402">
        <v>6.6863000000000001</v>
      </c>
      <c r="N402">
        <v>2</v>
      </c>
      <c r="O402">
        <v>0.40239999999999998</v>
      </c>
      <c r="P402" t="s">
        <v>27</v>
      </c>
      <c r="Q402">
        <v>2</v>
      </c>
      <c r="R402" t="s">
        <v>1272</v>
      </c>
      <c r="S402" t="s">
        <v>1280</v>
      </c>
    </row>
    <row r="403" spans="1:19" hidden="1" x14ac:dyDescent="0.3">
      <c r="A403" t="s">
        <v>756</v>
      </c>
      <c r="B403" t="s">
        <v>757</v>
      </c>
      <c r="C403" t="s">
        <v>731</v>
      </c>
      <c r="D403">
        <v>16838</v>
      </c>
      <c r="E403" t="s">
        <v>129</v>
      </c>
      <c r="F403" t="s">
        <v>60</v>
      </c>
      <c r="G403" t="s">
        <v>130</v>
      </c>
      <c r="H403" t="s">
        <v>131</v>
      </c>
      <c r="I403" t="s">
        <v>31</v>
      </c>
      <c r="J403">
        <v>3435</v>
      </c>
      <c r="K403" t="s">
        <v>132</v>
      </c>
      <c r="L403">
        <v>2</v>
      </c>
      <c r="M403">
        <v>7.4116999999999997</v>
      </c>
      <c r="P403" t="s">
        <v>33</v>
      </c>
      <c r="Q403">
        <v>2</v>
      </c>
      <c r="R403" t="s">
        <v>1272</v>
      </c>
      <c r="S403" t="s">
        <v>1280</v>
      </c>
    </row>
    <row r="404" spans="1:19" hidden="1" x14ac:dyDescent="0.3">
      <c r="A404" t="s">
        <v>756</v>
      </c>
      <c r="B404" t="s">
        <v>757</v>
      </c>
      <c r="C404" t="s">
        <v>731</v>
      </c>
      <c r="D404">
        <v>12188</v>
      </c>
      <c r="E404" t="s">
        <v>680</v>
      </c>
      <c r="F404" t="s">
        <v>668</v>
      </c>
      <c r="G404" t="s">
        <v>681</v>
      </c>
      <c r="H404" t="s">
        <v>682</v>
      </c>
      <c r="I404" t="s">
        <v>31</v>
      </c>
      <c r="J404">
        <v>637</v>
      </c>
      <c r="K404" t="s">
        <v>683</v>
      </c>
      <c r="N404">
        <v>3</v>
      </c>
      <c r="O404">
        <v>0.3992</v>
      </c>
      <c r="P404" t="s">
        <v>38</v>
      </c>
      <c r="Q404">
        <v>2</v>
      </c>
      <c r="R404" t="s">
        <v>1272</v>
      </c>
      <c r="S404" t="s">
        <v>1280</v>
      </c>
    </row>
    <row r="405" spans="1:19" hidden="1" x14ac:dyDescent="0.3">
      <c r="A405" t="s">
        <v>756</v>
      </c>
      <c r="B405" t="s">
        <v>757</v>
      </c>
      <c r="C405" t="s">
        <v>731</v>
      </c>
      <c r="D405">
        <v>8524</v>
      </c>
      <c r="E405" t="s">
        <v>676</v>
      </c>
      <c r="F405" t="s">
        <v>668</v>
      </c>
      <c r="G405" t="s">
        <v>677</v>
      </c>
      <c r="H405" t="s">
        <v>678</v>
      </c>
      <c r="I405" t="s">
        <v>25</v>
      </c>
      <c r="J405">
        <v>226</v>
      </c>
      <c r="K405" t="s">
        <v>679</v>
      </c>
      <c r="N405">
        <v>4</v>
      </c>
      <c r="O405">
        <v>0.37940000000000002</v>
      </c>
      <c r="P405" t="s">
        <v>38</v>
      </c>
      <c r="Q405">
        <v>1</v>
      </c>
      <c r="R405" t="s">
        <v>1272</v>
      </c>
      <c r="S405" t="s">
        <v>1335</v>
      </c>
    </row>
    <row r="406" spans="1:19" hidden="1" x14ac:dyDescent="0.3">
      <c r="A406" t="s">
        <v>756</v>
      </c>
      <c r="B406" t="s">
        <v>757</v>
      </c>
      <c r="C406" t="s">
        <v>731</v>
      </c>
      <c r="D406">
        <v>14198</v>
      </c>
      <c r="E406" t="s">
        <v>73</v>
      </c>
      <c r="F406" t="s">
        <v>74</v>
      </c>
      <c r="G406" t="s">
        <v>75</v>
      </c>
      <c r="H406" t="s">
        <v>76</v>
      </c>
      <c r="I406" t="s">
        <v>31</v>
      </c>
      <c r="J406">
        <v>377</v>
      </c>
      <c r="K406" t="s">
        <v>77</v>
      </c>
      <c r="L406">
        <v>4</v>
      </c>
      <c r="M406">
        <v>6.6247999999999996</v>
      </c>
      <c r="P406" t="s">
        <v>33</v>
      </c>
      <c r="Q406">
        <v>1</v>
      </c>
      <c r="R406" t="s">
        <v>1272</v>
      </c>
      <c r="S406" t="s">
        <v>1335</v>
      </c>
    </row>
    <row r="407" spans="1:19" hidden="1" x14ac:dyDescent="0.3">
      <c r="A407" t="s">
        <v>756</v>
      </c>
      <c r="B407" t="s">
        <v>757</v>
      </c>
      <c r="C407" t="s">
        <v>731</v>
      </c>
      <c r="D407">
        <v>15013</v>
      </c>
      <c r="E407" t="s">
        <v>59</v>
      </c>
      <c r="F407" t="s">
        <v>60</v>
      </c>
      <c r="G407" t="s">
        <v>61</v>
      </c>
      <c r="H407" t="s">
        <v>62</v>
      </c>
      <c r="I407" t="s">
        <v>25</v>
      </c>
      <c r="J407">
        <v>550</v>
      </c>
      <c r="K407" t="s">
        <v>63</v>
      </c>
      <c r="N407">
        <v>5</v>
      </c>
      <c r="O407">
        <v>0.37580000000000002</v>
      </c>
      <c r="P407" t="s">
        <v>38</v>
      </c>
      <c r="Q407">
        <v>1</v>
      </c>
      <c r="R407" t="s">
        <v>1272</v>
      </c>
      <c r="S407" t="s">
        <v>1335</v>
      </c>
    </row>
    <row r="408" spans="1:19" hidden="1" x14ac:dyDescent="0.3">
      <c r="A408" t="s">
        <v>756</v>
      </c>
      <c r="B408" t="s">
        <v>757</v>
      </c>
      <c r="C408" t="s">
        <v>731</v>
      </c>
      <c r="D408">
        <v>19397</v>
      </c>
      <c r="E408" t="s">
        <v>758</v>
      </c>
      <c r="F408" t="s">
        <v>60</v>
      </c>
      <c r="G408" t="s">
        <v>759</v>
      </c>
      <c r="H408" t="s">
        <v>760</v>
      </c>
      <c r="I408" t="s">
        <v>31</v>
      </c>
      <c r="J408">
        <v>528</v>
      </c>
      <c r="K408" t="s">
        <v>761</v>
      </c>
      <c r="L408">
        <v>5</v>
      </c>
      <c r="M408">
        <v>6.0968</v>
      </c>
      <c r="P408" t="s">
        <v>33</v>
      </c>
      <c r="Q408">
        <v>0</v>
      </c>
      <c r="R408" t="s">
        <v>1272</v>
      </c>
      <c r="S408" t="s">
        <v>1275</v>
      </c>
    </row>
    <row r="409" spans="1:19" hidden="1" x14ac:dyDescent="0.3">
      <c r="A409" t="s">
        <v>756</v>
      </c>
      <c r="B409" t="s">
        <v>757</v>
      </c>
      <c r="C409" t="s">
        <v>731</v>
      </c>
      <c r="D409">
        <v>12297</v>
      </c>
      <c r="E409" t="s">
        <v>90</v>
      </c>
      <c r="F409" t="s">
        <v>22</v>
      </c>
      <c r="G409" t="s">
        <v>91</v>
      </c>
      <c r="H409" t="s">
        <v>92</v>
      </c>
      <c r="I409" t="s">
        <v>31</v>
      </c>
      <c r="J409">
        <v>4056</v>
      </c>
      <c r="K409" t="s">
        <v>93</v>
      </c>
      <c r="N409">
        <v>6</v>
      </c>
      <c r="O409">
        <v>0.37459999999999999</v>
      </c>
      <c r="P409" t="s">
        <v>38</v>
      </c>
      <c r="Q409">
        <v>2</v>
      </c>
      <c r="R409" t="s">
        <v>1272</v>
      </c>
      <c r="S409" t="s">
        <v>1280</v>
      </c>
    </row>
    <row r="410" spans="1:19" hidden="1" x14ac:dyDescent="0.3">
      <c r="A410" t="s">
        <v>756</v>
      </c>
      <c r="B410" t="s">
        <v>757</v>
      </c>
      <c r="C410" t="s">
        <v>731</v>
      </c>
      <c r="D410">
        <v>19982</v>
      </c>
      <c r="E410" t="s">
        <v>28</v>
      </c>
      <c r="F410" t="s">
        <v>22</v>
      </c>
      <c r="G410" t="s">
        <v>29</v>
      </c>
      <c r="H410" t="s">
        <v>30</v>
      </c>
      <c r="I410" t="s">
        <v>31</v>
      </c>
      <c r="J410">
        <v>543</v>
      </c>
      <c r="K410" t="s">
        <v>32</v>
      </c>
      <c r="L410">
        <v>6</v>
      </c>
      <c r="M410">
        <v>6.0952000000000002</v>
      </c>
      <c r="P410" t="s">
        <v>33</v>
      </c>
      <c r="Q410">
        <v>0</v>
      </c>
      <c r="R410" t="s">
        <v>1272</v>
      </c>
      <c r="S410" t="s">
        <v>1275</v>
      </c>
    </row>
    <row r="411" spans="1:19" hidden="1" x14ac:dyDescent="0.3">
      <c r="A411" t="s">
        <v>756</v>
      </c>
      <c r="B411" t="s">
        <v>757</v>
      </c>
      <c r="C411" t="s">
        <v>731</v>
      </c>
      <c r="D411">
        <v>20259</v>
      </c>
      <c r="E411" t="s">
        <v>49</v>
      </c>
      <c r="F411" t="s">
        <v>50</v>
      </c>
      <c r="G411" t="s">
        <v>51</v>
      </c>
      <c r="H411" t="s">
        <v>52</v>
      </c>
      <c r="I411" t="s">
        <v>25</v>
      </c>
      <c r="J411">
        <v>313</v>
      </c>
      <c r="K411" t="s">
        <v>53</v>
      </c>
      <c r="N411">
        <v>7</v>
      </c>
      <c r="O411">
        <v>0.3745</v>
      </c>
      <c r="P411" t="s">
        <v>38</v>
      </c>
      <c r="Q411">
        <v>1</v>
      </c>
      <c r="R411" t="s">
        <v>1272</v>
      </c>
      <c r="S411" t="s">
        <v>1335</v>
      </c>
    </row>
    <row r="412" spans="1:19" hidden="1" x14ac:dyDescent="0.3">
      <c r="A412" t="s">
        <v>756</v>
      </c>
      <c r="B412" t="s">
        <v>757</v>
      </c>
      <c r="C412" t="s">
        <v>731</v>
      </c>
      <c r="D412">
        <v>20472</v>
      </c>
      <c r="E412" t="s">
        <v>487</v>
      </c>
      <c r="F412" t="s">
        <v>60</v>
      </c>
      <c r="G412" t="s">
        <v>488</v>
      </c>
      <c r="H412" t="s">
        <v>489</v>
      </c>
      <c r="I412" t="s">
        <v>25</v>
      </c>
      <c r="J412">
        <v>579</v>
      </c>
      <c r="K412" t="s">
        <v>490</v>
      </c>
      <c r="L412">
        <v>7</v>
      </c>
      <c r="M412">
        <v>5.8315999999999999</v>
      </c>
      <c r="P412" t="s">
        <v>33</v>
      </c>
      <c r="Q412">
        <v>1</v>
      </c>
      <c r="R412" t="s">
        <v>1272</v>
      </c>
      <c r="S412" t="s">
        <v>1335</v>
      </c>
    </row>
    <row r="413" spans="1:19" hidden="1" x14ac:dyDescent="0.3">
      <c r="A413" t="s">
        <v>756</v>
      </c>
      <c r="B413" t="s">
        <v>757</v>
      </c>
      <c r="C413" t="s">
        <v>731</v>
      </c>
      <c r="D413">
        <v>18937</v>
      </c>
      <c r="E413" t="s">
        <v>68</v>
      </c>
      <c r="F413" t="s">
        <v>69</v>
      </c>
      <c r="G413" t="s">
        <v>70</v>
      </c>
      <c r="H413" t="s">
        <v>71</v>
      </c>
      <c r="I413" t="s">
        <v>31</v>
      </c>
      <c r="J413">
        <v>3317</v>
      </c>
      <c r="K413" t="s">
        <v>72</v>
      </c>
      <c r="L413">
        <v>8</v>
      </c>
      <c r="M413">
        <v>5.4931000000000001</v>
      </c>
      <c r="P413" t="s">
        <v>33</v>
      </c>
      <c r="Q413">
        <v>1</v>
      </c>
      <c r="R413" t="s">
        <v>1272</v>
      </c>
      <c r="S413" t="s">
        <v>1335</v>
      </c>
    </row>
    <row r="414" spans="1:19" hidden="1" x14ac:dyDescent="0.3">
      <c r="A414" t="s">
        <v>756</v>
      </c>
      <c r="B414" t="s">
        <v>757</v>
      </c>
      <c r="C414" t="s">
        <v>731</v>
      </c>
      <c r="D414">
        <v>20773</v>
      </c>
      <c r="E414" t="s">
        <v>109</v>
      </c>
      <c r="F414" t="s">
        <v>60</v>
      </c>
      <c r="G414" t="s">
        <v>41</v>
      </c>
      <c r="H414" t="s">
        <v>110</v>
      </c>
      <c r="I414" t="s">
        <v>25</v>
      </c>
      <c r="J414">
        <v>1156</v>
      </c>
      <c r="K414" t="s">
        <v>111</v>
      </c>
      <c r="N414">
        <v>8</v>
      </c>
      <c r="O414">
        <v>0.37430000000000002</v>
      </c>
      <c r="P414" t="s">
        <v>38</v>
      </c>
      <c r="Q414">
        <v>0</v>
      </c>
      <c r="R414" t="s">
        <v>1272</v>
      </c>
      <c r="S414" t="s">
        <v>1275</v>
      </c>
    </row>
    <row r="415" spans="1:19" hidden="1" x14ac:dyDescent="0.3">
      <c r="A415" t="s">
        <v>756</v>
      </c>
      <c r="B415" t="s">
        <v>757</v>
      </c>
      <c r="C415" t="s">
        <v>731</v>
      </c>
      <c r="D415">
        <v>8979</v>
      </c>
      <c r="E415" t="s">
        <v>667</v>
      </c>
      <c r="F415" t="s">
        <v>668</v>
      </c>
      <c r="G415" t="s">
        <v>669</v>
      </c>
      <c r="H415" t="s">
        <v>670</v>
      </c>
      <c r="I415" t="s">
        <v>25</v>
      </c>
      <c r="J415">
        <v>925</v>
      </c>
      <c r="K415" t="s">
        <v>671</v>
      </c>
      <c r="N415">
        <v>9</v>
      </c>
      <c r="O415">
        <v>0.36980000000000002</v>
      </c>
      <c r="P415" t="s">
        <v>38</v>
      </c>
      <c r="Q415">
        <v>0</v>
      </c>
      <c r="R415" t="s">
        <v>1272</v>
      </c>
      <c r="S415" t="s">
        <v>1275</v>
      </c>
    </row>
    <row r="416" spans="1:19" hidden="1" x14ac:dyDescent="0.3">
      <c r="A416" t="s">
        <v>756</v>
      </c>
      <c r="B416" t="s">
        <v>757</v>
      </c>
      <c r="C416" t="s">
        <v>731</v>
      </c>
      <c r="D416">
        <v>16102</v>
      </c>
      <c r="E416" t="s">
        <v>186</v>
      </c>
      <c r="F416" t="s">
        <v>155</v>
      </c>
      <c r="G416" t="s">
        <v>187</v>
      </c>
      <c r="H416" t="s">
        <v>188</v>
      </c>
      <c r="I416" t="s">
        <v>25</v>
      </c>
      <c r="J416">
        <v>8766</v>
      </c>
      <c r="K416" t="s">
        <v>189</v>
      </c>
      <c r="L416">
        <v>9</v>
      </c>
      <c r="M416">
        <v>5.4725000000000001</v>
      </c>
      <c r="P416" t="s">
        <v>33</v>
      </c>
      <c r="Q416">
        <v>0</v>
      </c>
      <c r="R416" t="s">
        <v>1272</v>
      </c>
      <c r="S416" t="s">
        <v>1275</v>
      </c>
    </row>
    <row r="417" spans="1:19" hidden="1" x14ac:dyDescent="0.3">
      <c r="A417" t="s">
        <v>756</v>
      </c>
      <c r="B417" t="s">
        <v>757</v>
      </c>
      <c r="C417" t="s">
        <v>731</v>
      </c>
      <c r="D417">
        <v>16114</v>
      </c>
      <c r="E417" t="s">
        <v>274</v>
      </c>
      <c r="F417" t="s">
        <v>74</v>
      </c>
      <c r="G417" t="s">
        <v>275</v>
      </c>
      <c r="H417" t="s">
        <v>276</v>
      </c>
      <c r="I417" t="s">
        <v>25</v>
      </c>
      <c r="J417">
        <v>251</v>
      </c>
      <c r="K417" t="s">
        <v>277</v>
      </c>
      <c r="N417">
        <v>10</v>
      </c>
      <c r="O417">
        <v>0.36559999999999998</v>
      </c>
      <c r="P417" t="s">
        <v>38</v>
      </c>
      <c r="Q417">
        <v>2</v>
      </c>
      <c r="R417" t="s">
        <v>1272</v>
      </c>
      <c r="S417" t="s">
        <v>1280</v>
      </c>
    </row>
    <row r="418" spans="1:19" hidden="1" x14ac:dyDescent="0.3">
      <c r="A418" t="s">
        <v>756</v>
      </c>
      <c r="B418" t="s">
        <v>757</v>
      </c>
      <c r="C418" t="s">
        <v>731</v>
      </c>
      <c r="D418">
        <v>19505</v>
      </c>
      <c r="E418" t="s">
        <v>328</v>
      </c>
      <c r="F418" t="s">
        <v>288</v>
      </c>
      <c r="G418" t="s">
        <v>329</v>
      </c>
      <c r="H418" t="s">
        <v>330</v>
      </c>
      <c r="I418" t="s">
        <v>31</v>
      </c>
      <c r="J418">
        <v>233</v>
      </c>
      <c r="K418" t="s">
        <v>331</v>
      </c>
      <c r="L418">
        <v>10</v>
      </c>
      <c r="M418">
        <v>5.2161999999999997</v>
      </c>
      <c r="P418" t="s">
        <v>33</v>
      </c>
      <c r="Q418">
        <v>2</v>
      </c>
      <c r="R418" t="s">
        <v>1272</v>
      </c>
      <c r="S418" t="s">
        <v>1280</v>
      </c>
    </row>
    <row r="419" spans="1:19" hidden="1" x14ac:dyDescent="0.3">
      <c r="A419" t="s">
        <v>762</v>
      </c>
      <c r="B419" t="s">
        <v>763</v>
      </c>
      <c r="C419" t="s">
        <v>731</v>
      </c>
      <c r="D419">
        <v>16145</v>
      </c>
      <c r="E419" t="s">
        <v>182</v>
      </c>
      <c r="F419" t="s">
        <v>155</v>
      </c>
      <c r="G419" t="s">
        <v>183</v>
      </c>
      <c r="H419" t="s">
        <v>184</v>
      </c>
      <c r="I419" t="s">
        <v>31</v>
      </c>
      <c r="J419">
        <v>2447</v>
      </c>
      <c r="K419" t="s">
        <v>185</v>
      </c>
      <c r="L419">
        <v>1</v>
      </c>
      <c r="M419">
        <v>7.4823000000000004</v>
      </c>
      <c r="N419">
        <v>4</v>
      </c>
      <c r="O419">
        <v>0.37369999999999998</v>
      </c>
      <c r="P419" t="s">
        <v>27</v>
      </c>
      <c r="Q419">
        <v>1</v>
      </c>
      <c r="R419" t="s">
        <v>1272</v>
      </c>
      <c r="S419" t="s">
        <v>1337</v>
      </c>
    </row>
    <row r="420" spans="1:19" hidden="1" x14ac:dyDescent="0.3">
      <c r="A420" t="s">
        <v>762</v>
      </c>
      <c r="B420" t="s">
        <v>763</v>
      </c>
      <c r="C420" t="s">
        <v>731</v>
      </c>
      <c r="D420">
        <v>20353</v>
      </c>
      <c r="E420" t="s">
        <v>164</v>
      </c>
      <c r="F420" t="s">
        <v>165</v>
      </c>
      <c r="G420" t="s">
        <v>41</v>
      </c>
      <c r="H420" t="s">
        <v>166</v>
      </c>
      <c r="I420" t="s">
        <v>31</v>
      </c>
      <c r="J420">
        <v>899</v>
      </c>
      <c r="K420" t="s">
        <v>167</v>
      </c>
      <c r="N420">
        <v>1</v>
      </c>
      <c r="O420">
        <v>0.39789999999999998</v>
      </c>
      <c r="P420" t="s">
        <v>38</v>
      </c>
      <c r="Q420">
        <v>1</v>
      </c>
      <c r="R420" t="s">
        <v>1272</v>
      </c>
      <c r="S420" t="s">
        <v>1337</v>
      </c>
    </row>
    <row r="421" spans="1:19" hidden="1" x14ac:dyDescent="0.3">
      <c r="A421" t="s">
        <v>762</v>
      </c>
      <c r="B421" t="s">
        <v>763</v>
      </c>
      <c r="C421" t="s">
        <v>731</v>
      </c>
      <c r="D421">
        <v>13481</v>
      </c>
      <c r="E421" t="s">
        <v>270</v>
      </c>
      <c r="F421" t="s">
        <v>55</v>
      </c>
      <c r="G421" t="s">
        <v>271</v>
      </c>
      <c r="H421" t="s">
        <v>272</v>
      </c>
      <c r="I421" t="s">
        <v>31</v>
      </c>
      <c r="J421">
        <v>690</v>
      </c>
      <c r="K421" t="s">
        <v>273</v>
      </c>
      <c r="N421">
        <v>2</v>
      </c>
      <c r="O421">
        <v>0.39050000000000001</v>
      </c>
      <c r="P421" t="s">
        <v>38</v>
      </c>
      <c r="Q421">
        <v>0</v>
      </c>
      <c r="R421" t="s">
        <v>1272</v>
      </c>
      <c r="S421" t="s">
        <v>1334</v>
      </c>
    </row>
    <row r="422" spans="1:19" hidden="1" x14ac:dyDescent="0.3">
      <c r="A422" t="s">
        <v>762</v>
      </c>
      <c r="B422" t="s">
        <v>763</v>
      </c>
      <c r="C422" t="s">
        <v>731</v>
      </c>
      <c r="D422">
        <v>15839</v>
      </c>
      <c r="E422" t="s">
        <v>154</v>
      </c>
      <c r="F422" t="s">
        <v>155</v>
      </c>
      <c r="G422" t="s">
        <v>156</v>
      </c>
      <c r="H422" t="s">
        <v>157</v>
      </c>
      <c r="I422" t="s">
        <v>25</v>
      </c>
      <c r="J422">
        <v>298</v>
      </c>
      <c r="K422" t="s">
        <v>158</v>
      </c>
      <c r="L422">
        <v>2</v>
      </c>
      <c r="M422">
        <v>7.0282999999999998</v>
      </c>
      <c r="P422" t="s">
        <v>33</v>
      </c>
      <c r="Q422">
        <v>2</v>
      </c>
      <c r="R422" t="s">
        <v>1272</v>
      </c>
      <c r="S422" t="s">
        <v>1280</v>
      </c>
    </row>
    <row r="423" spans="1:19" hidden="1" x14ac:dyDescent="0.3">
      <c r="A423" t="s">
        <v>762</v>
      </c>
      <c r="B423" t="s">
        <v>763</v>
      </c>
      <c r="C423" t="s">
        <v>731</v>
      </c>
      <c r="D423">
        <v>19397</v>
      </c>
      <c r="E423" t="s">
        <v>758</v>
      </c>
      <c r="F423" t="s">
        <v>60</v>
      </c>
      <c r="G423" t="s">
        <v>759</v>
      </c>
      <c r="H423" t="s">
        <v>760</v>
      </c>
      <c r="I423" t="s">
        <v>31</v>
      </c>
      <c r="J423">
        <v>528</v>
      </c>
      <c r="K423" t="s">
        <v>761</v>
      </c>
      <c r="L423">
        <v>3</v>
      </c>
      <c r="M423">
        <v>6.7191000000000001</v>
      </c>
      <c r="P423" t="s">
        <v>33</v>
      </c>
      <c r="Q423">
        <v>2</v>
      </c>
      <c r="R423" t="s">
        <v>1272</v>
      </c>
      <c r="S423" t="s">
        <v>1280</v>
      </c>
    </row>
    <row r="424" spans="1:19" hidden="1" x14ac:dyDescent="0.3">
      <c r="A424" t="s">
        <v>762</v>
      </c>
      <c r="B424" t="s">
        <v>763</v>
      </c>
      <c r="C424" t="s">
        <v>731</v>
      </c>
      <c r="D424">
        <v>20259</v>
      </c>
      <c r="E424" t="s">
        <v>49</v>
      </c>
      <c r="F424" t="s">
        <v>50</v>
      </c>
      <c r="G424" t="s">
        <v>51</v>
      </c>
      <c r="H424" t="s">
        <v>52</v>
      </c>
      <c r="I424" t="s">
        <v>25</v>
      </c>
      <c r="J424">
        <v>313</v>
      </c>
      <c r="K424" t="s">
        <v>53</v>
      </c>
      <c r="N424">
        <v>3</v>
      </c>
      <c r="O424">
        <v>0.38979999999999998</v>
      </c>
      <c r="P424" t="s">
        <v>38</v>
      </c>
      <c r="Q424">
        <v>0</v>
      </c>
      <c r="R424" t="s">
        <v>1272</v>
      </c>
      <c r="S424" t="s">
        <v>1334</v>
      </c>
    </row>
    <row r="425" spans="1:19" hidden="1" x14ac:dyDescent="0.3">
      <c r="A425" t="s">
        <v>762</v>
      </c>
      <c r="B425" t="s">
        <v>763</v>
      </c>
      <c r="C425" t="s">
        <v>731</v>
      </c>
      <c r="D425">
        <v>14198</v>
      </c>
      <c r="E425" t="s">
        <v>73</v>
      </c>
      <c r="F425" t="s">
        <v>74</v>
      </c>
      <c r="G425" t="s">
        <v>75</v>
      </c>
      <c r="H425" t="s">
        <v>76</v>
      </c>
      <c r="I425" t="s">
        <v>31</v>
      </c>
      <c r="J425">
        <v>377</v>
      </c>
      <c r="K425" t="s">
        <v>77</v>
      </c>
      <c r="L425">
        <v>4</v>
      </c>
      <c r="M425">
        <v>6.6247999999999996</v>
      </c>
      <c r="P425" t="s">
        <v>33</v>
      </c>
      <c r="Q425">
        <v>0</v>
      </c>
      <c r="R425" t="s">
        <v>1272</v>
      </c>
      <c r="S425" t="s">
        <v>1334</v>
      </c>
    </row>
    <row r="426" spans="1:19" hidden="1" x14ac:dyDescent="0.3">
      <c r="A426" t="s">
        <v>762</v>
      </c>
      <c r="B426" t="s">
        <v>763</v>
      </c>
      <c r="C426" t="s">
        <v>731</v>
      </c>
      <c r="D426">
        <v>16756</v>
      </c>
      <c r="E426" t="s">
        <v>764</v>
      </c>
      <c r="F426" t="s">
        <v>155</v>
      </c>
      <c r="G426" t="s">
        <v>235</v>
      </c>
      <c r="H426" t="s">
        <v>765</v>
      </c>
      <c r="I426" t="s">
        <v>25</v>
      </c>
      <c r="J426">
        <v>344</v>
      </c>
      <c r="K426" t="s">
        <v>766</v>
      </c>
      <c r="L426">
        <v>5</v>
      </c>
      <c r="M426">
        <v>6.4424999999999999</v>
      </c>
      <c r="P426" t="s">
        <v>33</v>
      </c>
      <c r="Q426">
        <v>2</v>
      </c>
      <c r="R426" t="s">
        <v>1272</v>
      </c>
      <c r="S426" t="s">
        <v>1280</v>
      </c>
    </row>
    <row r="427" spans="1:19" hidden="1" x14ac:dyDescent="0.3">
      <c r="A427" t="s">
        <v>762</v>
      </c>
      <c r="B427" t="s">
        <v>763</v>
      </c>
      <c r="C427" t="s">
        <v>731</v>
      </c>
      <c r="D427">
        <v>19710</v>
      </c>
      <c r="E427" t="s">
        <v>199</v>
      </c>
      <c r="F427" t="s">
        <v>200</v>
      </c>
      <c r="G427" t="s">
        <v>201</v>
      </c>
      <c r="H427" t="s">
        <v>202</v>
      </c>
      <c r="I427" t="s">
        <v>31</v>
      </c>
      <c r="J427">
        <v>262</v>
      </c>
      <c r="K427" t="s">
        <v>203</v>
      </c>
      <c r="N427">
        <v>5</v>
      </c>
      <c r="O427">
        <v>0.37290000000000001</v>
      </c>
      <c r="P427" t="s">
        <v>38</v>
      </c>
      <c r="Q427">
        <v>1</v>
      </c>
      <c r="R427" t="s">
        <v>1272</v>
      </c>
      <c r="S427" t="s">
        <v>1337</v>
      </c>
    </row>
    <row r="428" spans="1:19" hidden="1" x14ac:dyDescent="0.3">
      <c r="A428" t="s">
        <v>762</v>
      </c>
      <c r="B428" t="s">
        <v>763</v>
      </c>
      <c r="C428" t="s">
        <v>731</v>
      </c>
      <c r="D428">
        <v>17601</v>
      </c>
      <c r="E428" t="s">
        <v>767</v>
      </c>
      <c r="F428" t="s">
        <v>155</v>
      </c>
      <c r="G428" t="s">
        <v>768</v>
      </c>
      <c r="H428" t="s">
        <v>769</v>
      </c>
      <c r="I428" t="s">
        <v>31</v>
      </c>
      <c r="J428">
        <v>594</v>
      </c>
      <c r="K428" t="s">
        <v>770</v>
      </c>
      <c r="N428">
        <v>6</v>
      </c>
      <c r="O428">
        <v>0.36599999999999999</v>
      </c>
      <c r="P428" t="s">
        <v>38</v>
      </c>
      <c r="Q428">
        <v>2</v>
      </c>
      <c r="R428" t="s">
        <v>1272</v>
      </c>
      <c r="S428" t="s">
        <v>1280</v>
      </c>
    </row>
    <row r="429" spans="1:19" hidden="1" x14ac:dyDescent="0.3">
      <c r="A429" t="s">
        <v>762</v>
      </c>
      <c r="B429" t="s">
        <v>763</v>
      </c>
      <c r="C429" t="s">
        <v>731</v>
      </c>
      <c r="D429">
        <v>17785</v>
      </c>
      <c r="E429" t="s">
        <v>159</v>
      </c>
      <c r="F429" t="s">
        <v>160</v>
      </c>
      <c r="G429" t="s">
        <v>161</v>
      </c>
      <c r="H429" t="s">
        <v>162</v>
      </c>
      <c r="I429" t="s">
        <v>25</v>
      </c>
      <c r="J429">
        <v>935</v>
      </c>
      <c r="K429" t="s">
        <v>163</v>
      </c>
      <c r="L429">
        <v>6</v>
      </c>
      <c r="M429">
        <v>5.5822000000000003</v>
      </c>
      <c r="P429" t="s">
        <v>33</v>
      </c>
      <c r="Q429">
        <v>1</v>
      </c>
      <c r="R429" t="s">
        <v>1272</v>
      </c>
      <c r="S429" t="s">
        <v>1337</v>
      </c>
    </row>
    <row r="430" spans="1:19" hidden="1" x14ac:dyDescent="0.3">
      <c r="A430" t="s">
        <v>762</v>
      </c>
      <c r="B430" t="s">
        <v>763</v>
      </c>
      <c r="C430" t="s">
        <v>731</v>
      </c>
      <c r="D430">
        <v>13535</v>
      </c>
      <c r="E430" t="s">
        <v>771</v>
      </c>
      <c r="F430" t="s">
        <v>60</v>
      </c>
      <c r="G430" t="s">
        <v>772</v>
      </c>
      <c r="H430" t="s">
        <v>773</v>
      </c>
      <c r="I430" t="s">
        <v>31</v>
      </c>
      <c r="J430">
        <v>234</v>
      </c>
      <c r="K430" t="s">
        <v>774</v>
      </c>
      <c r="L430">
        <v>7</v>
      </c>
      <c r="M430">
        <v>5.5244</v>
      </c>
      <c r="P430" t="s">
        <v>33</v>
      </c>
      <c r="Q430">
        <v>1</v>
      </c>
      <c r="R430" t="s">
        <v>1272</v>
      </c>
      <c r="S430" t="s">
        <v>1337</v>
      </c>
    </row>
    <row r="431" spans="1:19" hidden="1" x14ac:dyDescent="0.3">
      <c r="A431" t="s">
        <v>762</v>
      </c>
      <c r="B431" t="s">
        <v>763</v>
      </c>
      <c r="C431" t="s">
        <v>731</v>
      </c>
      <c r="D431">
        <v>17519</v>
      </c>
      <c r="E431" t="s">
        <v>34</v>
      </c>
      <c r="F431" t="s">
        <v>22</v>
      </c>
      <c r="G431" t="s">
        <v>35</v>
      </c>
      <c r="H431" t="s">
        <v>36</v>
      </c>
      <c r="I431" t="s">
        <v>25</v>
      </c>
      <c r="J431">
        <v>2690</v>
      </c>
      <c r="K431" t="s">
        <v>37</v>
      </c>
      <c r="N431">
        <v>7</v>
      </c>
      <c r="O431">
        <v>0.3594</v>
      </c>
      <c r="P431" t="s">
        <v>38</v>
      </c>
      <c r="Q431">
        <v>0</v>
      </c>
      <c r="R431" t="s">
        <v>1272</v>
      </c>
      <c r="S431" t="s">
        <v>1334</v>
      </c>
    </row>
    <row r="432" spans="1:19" hidden="1" x14ac:dyDescent="0.3">
      <c r="A432" t="s">
        <v>762</v>
      </c>
      <c r="B432" t="s">
        <v>763</v>
      </c>
      <c r="C432" t="s">
        <v>731</v>
      </c>
      <c r="D432">
        <v>20472</v>
      </c>
      <c r="E432" t="s">
        <v>487</v>
      </c>
      <c r="F432" t="s">
        <v>60</v>
      </c>
      <c r="G432" t="s">
        <v>488</v>
      </c>
      <c r="H432" t="s">
        <v>489</v>
      </c>
      <c r="I432" t="s">
        <v>25</v>
      </c>
      <c r="J432">
        <v>579</v>
      </c>
      <c r="K432" t="s">
        <v>490</v>
      </c>
      <c r="L432">
        <v>8</v>
      </c>
      <c r="M432">
        <v>5.3756000000000004</v>
      </c>
      <c r="P432" t="s">
        <v>33</v>
      </c>
      <c r="Q432">
        <v>1</v>
      </c>
      <c r="R432" t="s">
        <v>1272</v>
      </c>
      <c r="S432" t="s">
        <v>1337</v>
      </c>
    </row>
    <row r="433" spans="1:19" hidden="1" x14ac:dyDescent="0.3">
      <c r="A433" t="s">
        <v>762</v>
      </c>
      <c r="B433" t="s">
        <v>763</v>
      </c>
      <c r="C433" t="s">
        <v>731</v>
      </c>
      <c r="D433">
        <v>20595</v>
      </c>
      <c r="E433" t="s">
        <v>190</v>
      </c>
      <c r="F433" t="s">
        <v>191</v>
      </c>
      <c r="G433" t="s">
        <v>192</v>
      </c>
      <c r="H433" t="s">
        <v>193</v>
      </c>
      <c r="I433" t="s">
        <v>25</v>
      </c>
      <c r="J433">
        <v>2941</v>
      </c>
      <c r="K433" t="s">
        <v>194</v>
      </c>
      <c r="N433">
        <v>8</v>
      </c>
      <c r="O433">
        <v>0.35830000000000001</v>
      </c>
      <c r="P433" t="s">
        <v>38</v>
      </c>
      <c r="Q433">
        <v>1</v>
      </c>
      <c r="R433" t="s">
        <v>1272</v>
      </c>
      <c r="S433" t="s">
        <v>1337</v>
      </c>
    </row>
    <row r="434" spans="1:19" hidden="1" x14ac:dyDescent="0.3">
      <c r="A434" t="s">
        <v>762</v>
      </c>
      <c r="B434" t="s">
        <v>763</v>
      </c>
      <c r="C434" t="s">
        <v>731</v>
      </c>
      <c r="D434">
        <v>16838</v>
      </c>
      <c r="E434" t="s">
        <v>129</v>
      </c>
      <c r="F434" t="s">
        <v>60</v>
      </c>
      <c r="G434" t="s">
        <v>130</v>
      </c>
      <c r="H434" t="s">
        <v>131</v>
      </c>
      <c r="I434" t="s">
        <v>31</v>
      </c>
      <c r="J434">
        <v>3435</v>
      </c>
      <c r="K434" t="s">
        <v>132</v>
      </c>
      <c r="L434">
        <v>9</v>
      </c>
      <c r="M434">
        <v>5.01</v>
      </c>
      <c r="P434" t="s">
        <v>33</v>
      </c>
      <c r="Q434">
        <v>0</v>
      </c>
      <c r="R434" t="s">
        <v>1272</v>
      </c>
      <c r="S434" t="s">
        <v>1334</v>
      </c>
    </row>
    <row r="435" spans="1:19" hidden="1" x14ac:dyDescent="0.3">
      <c r="A435" t="s">
        <v>762</v>
      </c>
      <c r="B435" t="s">
        <v>763</v>
      </c>
      <c r="C435" t="s">
        <v>731</v>
      </c>
      <c r="D435">
        <v>19992</v>
      </c>
      <c r="E435" t="s">
        <v>408</v>
      </c>
      <c r="F435" t="s">
        <v>22</v>
      </c>
      <c r="G435" t="s">
        <v>409</v>
      </c>
      <c r="H435" t="s">
        <v>410</v>
      </c>
      <c r="I435" t="s">
        <v>31</v>
      </c>
      <c r="J435">
        <v>553</v>
      </c>
      <c r="K435" t="s">
        <v>411</v>
      </c>
      <c r="N435">
        <v>9</v>
      </c>
      <c r="O435">
        <v>0.35749999999999998</v>
      </c>
      <c r="P435" t="s">
        <v>38</v>
      </c>
      <c r="Q435">
        <v>1</v>
      </c>
      <c r="R435" t="s">
        <v>1272</v>
      </c>
      <c r="S435" t="s">
        <v>1337</v>
      </c>
    </row>
    <row r="436" spans="1:19" hidden="1" x14ac:dyDescent="0.3">
      <c r="A436" t="s">
        <v>762</v>
      </c>
      <c r="B436" t="s">
        <v>763</v>
      </c>
      <c r="C436" t="s">
        <v>731</v>
      </c>
      <c r="D436">
        <v>16792</v>
      </c>
      <c r="E436" t="s">
        <v>437</v>
      </c>
      <c r="F436" t="s">
        <v>60</v>
      </c>
      <c r="G436" t="s">
        <v>438</v>
      </c>
      <c r="H436" t="s">
        <v>439</v>
      </c>
      <c r="I436" t="s">
        <v>31</v>
      </c>
      <c r="J436">
        <v>1231</v>
      </c>
      <c r="K436" t="s">
        <v>440</v>
      </c>
      <c r="N436">
        <v>10</v>
      </c>
      <c r="O436">
        <v>0.35589999999999999</v>
      </c>
      <c r="P436" t="s">
        <v>38</v>
      </c>
      <c r="Q436">
        <v>2</v>
      </c>
      <c r="R436" t="s">
        <v>1272</v>
      </c>
      <c r="S436" t="s">
        <v>1280</v>
      </c>
    </row>
    <row r="437" spans="1:19" hidden="1" x14ac:dyDescent="0.3">
      <c r="A437" t="s">
        <v>762</v>
      </c>
      <c r="B437" t="s">
        <v>763</v>
      </c>
      <c r="C437" t="s">
        <v>731</v>
      </c>
      <c r="D437">
        <v>19317</v>
      </c>
      <c r="E437" t="s">
        <v>44</v>
      </c>
      <c r="F437" t="s">
        <v>45</v>
      </c>
      <c r="G437" t="s">
        <v>46</v>
      </c>
      <c r="H437" t="s">
        <v>47</v>
      </c>
      <c r="I437" t="s">
        <v>31</v>
      </c>
      <c r="J437">
        <v>4168</v>
      </c>
      <c r="K437" t="s">
        <v>48</v>
      </c>
      <c r="L437">
        <v>10</v>
      </c>
      <c r="M437">
        <v>4.8331999999999997</v>
      </c>
      <c r="P437" t="s">
        <v>33</v>
      </c>
      <c r="Q437">
        <v>0</v>
      </c>
      <c r="R437" t="s">
        <v>1272</v>
      </c>
      <c r="S437" t="s">
        <v>1334</v>
      </c>
    </row>
    <row r="438" spans="1:19" hidden="1" x14ac:dyDescent="0.3">
      <c r="A438" t="s">
        <v>775</v>
      </c>
      <c r="B438" t="s">
        <v>776</v>
      </c>
      <c r="C438" t="s">
        <v>731</v>
      </c>
      <c r="D438">
        <v>19472</v>
      </c>
      <c r="E438" t="s">
        <v>332</v>
      </c>
      <c r="F438" t="s">
        <v>288</v>
      </c>
      <c r="G438" t="s">
        <v>333</v>
      </c>
      <c r="H438" t="s">
        <v>334</v>
      </c>
      <c r="I438" t="s">
        <v>31</v>
      </c>
      <c r="J438">
        <v>192</v>
      </c>
      <c r="K438" t="s">
        <v>335</v>
      </c>
      <c r="N438">
        <v>1</v>
      </c>
      <c r="O438">
        <v>0.42759999999999998</v>
      </c>
      <c r="P438" t="s">
        <v>38</v>
      </c>
      <c r="Q438">
        <v>2</v>
      </c>
      <c r="R438" t="s">
        <v>1272</v>
      </c>
      <c r="S438" t="s">
        <v>1280</v>
      </c>
    </row>
    <row r="439" spans="1:19" hidden="1" x14ac:dyDescent="0.3">
      <c r="A439" t="s">
        <v>775</v>
      </c>
      <c r="B439" t="s">
        <v>776</v>
      </c>
      <c r="C439" t="s">
        <v>731</v>
      </c>
      <c r="D439">
        <v>20773</v>
      </c>
      <c r="E439" t="s">
        <v>109</v>
      </c>
      <c r="F439" t="s">
        <v>60</v>
      </c>
      <c r="G439" t="s">
        <v>41</v>
      </c>
      <c r="H439" t="s">
        <v>110</v>
      </c>
      <c r="I439" t="s">
        <v>25</v>
      </c>
      <c r="J439">
        <v>1156</v>
      </c>
      <c r="K439" t="s">
        <v>111</v>
      </c>
      <c r="L439">
        <v>1</v>
      </c>
      <c r="M439">
        <v>7.7773000000000003</v>
      </c>
      <c r="N439">
        <v>10</v>
      </c>
      <c r="O439">
        <v>0.38240000000000002</v>
      </c>
      <c r="P439" t="s">
        <v>27</v>
      </c>
      <c r="Q439">
        <v>1</v>
      </c>
      <c r="R439" t="s">
        <v>1272</v>
      </c>
      <c r="S439" t="s">
        <v>1338</v>
      </c>
    </row>
    <row r="440" spans="1:19" hidden="1" x14ac:dyDescent="0.3">
      <c r="A440" t="s">
        <v>775</v>
      </c>
      <c r="B440" t="s">
        <v>776</v>
      </c>
      <c r="C440" t="s">
        <v>731</v>
      </c>
      <c r="D440">
        <v>15905</v>
      </c>
      <c r="E440" t="s">
        <v>262</v>
      </c>
      <c r="F440" t="s">
        <v>60</v>
      </c>
      <c r="G440" t="s">
        <v>263</v>
      </c>
      <c r="H440" t="s">
        <v>264</v>
      </c>
      <c r="I440" t="s">
        <v>31</v>
      </c>
      <c r="J440">
        <v>772</v>
      </c>
      <c r="K440" t="s">
        <v>265</v>
      </c>
      <c r="L440">
        <v>2</v>
      </c>
      <c r="M440">
        <v>7.45</v>
      </c>
      <c r="P440" t="s">
        <v>33</v>
      </c>
      <c r="Q440">
        <v>0</v>
      </c>
      <c r="R440" t="s">
        <v>1272</v>
      </c>
      <c r="S440" t="s">
        <v>1275</v>
      </c>
    </row>
    <row r="441" spans="1:19" hidden="1" x14ac:dyDescent="0.3">
      <c r="A441" t="s">
        <v>775</v>
      </c>
      <c r="B441" t="s">
        <v>776</v>
      </c>
      <c r="C441" t="s">
        <v>731</v>
      </c>
      <c r="D441">
        <v>17533</v>
      </c>
      <c r="E441" t="s">
        <v>746</v>
      </c>
      <c r="F441" t="s">
        <v>60</v>
      </c>
      <c r="G441" t="s">
        <v>719</v>
      </c>
      <c r="H441" t="s">
        <v>747</v>
      </c>
      <c r="I441" t="s">
        <v>25</v>
      </c>
      <c r="J441">
        <v>907</v>
      </c>
      <c r="K441" t="s">
        <v>748</v>
      </c>
      <c r="N441">
        <v>2</v>
      </c>
      <c r="O441">
        <v>0.41460000000000002</v>
      </c>
      <c r="P441" t="s">
        <v>38</v>
      </c>
      <c r="Q441">
        <v>2</v>
      </c>
      <c r="R441" t="s">
        <v>1272</v>
      </c>
      <c r="S441" t="s">
        <v>1280</v>
      </c>
    </row>
    <row r="442" spans="1:19" hidden="1" x14ac:dyDescent="0.3">
      <c r="A442" t="s">
        <v>775</v>
      </c>
      <c r="B442" t="s">
        <v>776</v>
      </c>
      <c r="C442" t="s">
        <v>731</v>
      </c>
      <c r="D442">
        <v>9820</v>
      </c>
      <c r="E442" t="s">
        <v>150</v>
      </c>
      <c r="F442" t="s">
        <v>60</v>
      </c>
      <c r="G442" t="s">
        <v>151</v>
      </c>
      <c r="H442" t="s">
        <v>152</v>
      </c>
      <c r="I442" t="s">
        <v>25</v>
      </c>
      <c r="J442">
        <v>2512</v>
      </c>
      <c r="K442" t="s">
        <v>153</v>
      </c>
      <c r="N442">
        <v>3</v>
      </c>
      <c r="O442">
        <v>0.40970000000000001</v>
      </c>
      <c r="P442" t="s">
        <v>38</v>
      </c>
      <c r="Q442">
        <v>1</v>
      </c>
      <c r="R442" t="s">
        <v>1272</v>
      </c>
      <c r="S442" t="s">
        <v>1338</v>
      </c>
    </row>
    <row r="443" spans="1:19" hidden="1" x14ac:dyDescent="0.3">
      <c r="A443" t="s">
        <v>775</v>
      </c>
      <c r="B443" t="s">
        <v>776</v>
      </c>
      <c r="C443" t="s">
        <v>731</v>
      </c>
      <c r="D443">
        <v>15995</v>
      </c>
      <c r="E443" t="s">
        <v>513</v>
      </c>
      <c r="F443" t="s">
        <v>155</v>
      </c>
      <c r="G443" t="s">
        <v>514</v>
      </c>
      <c r="H443" t="s">
        <v>515</v>
      </c>
      <c r="I443" t="s">
        <v>31</v>
      </c>
      <c r="J443">
        <v>1282</v>
      </c>
      <c r="K443" t="s">
        <v>516</v>
      </c>
      <c r="L443">
        <v>3</v>
      </c>
      <c r="M443">
        <v>7.3559999999999999</v>
      </c>
      <c r="P443" t="s">
        <v>33</v>
      </c>
      <c r="Q443">
        <v>0</v>
      </c>
      <c r="R443" t="s">
        <v>1272</v>
      </c>
      <c r="S443" t="s">
        <v>1275</v>
      </c>
    </row>
    <row r="444" spans="1:19" hidden="1" x14ac:dyDescent="0.3">
      <c r="A444" t="s">
        <v>775</v>
      </c>
      <c r="B444" t="s">
        <v>776</v>
      </c>
      <c r="C444" t="s">
        <v>731</v>
      </c>
      <c r="D444">
        <v>5049</v>
      </c>
      <c r="E444" t="s">
        <v>354</v>
      </c>
      <c r="F444" t="s">
        <v>288</v>
      </c>
      <c r="G444" t="s">
        <v>355</v>
      </c>
      <c r="H444" t="s">
        <v>356</v>
      </c>
      <c r="I444" t="s">
        <v>25</v>
      </c>
      <c r="J444">
        <v>306</v>
      </c>
      <c r="K444" t="s">
        <v>357</v>
      </c>
      <c r="N444">
        <v>4</v>
      </c>
      <c r="O444">
        <v>0.39679999999999999</v>
      </c>
      <c r="P444" t="s">
        <v>38</v>
      </c>
      <c r="Q444">
        <v>2</v>
      </c>
      <c r="R444" t="s">
        <v>1272</v>
      </c>
      <c r="S444" t="s">
        <v>1280</v>
      </c>
    </row>
    <row r="445" spans="1:19" hidden="1" x14ac:dyDescent="0.3">
      <c r="A445" t="s">
        <v>775</v>
      </c>
      <c r="B445" t="s">
        <v>776</v>
      </c>
      <c r="C445" t="s">
        <v>731</v>
      </c>
      <c r="D445">
        <v>16145</v>
      </c>
      <c r="E445" t="s">
        <v>182</v>
      </c>
      <c r="F445" t="s">
        <v>155</v>
      </c>
      <c r="G445" t="s">
        <v>183</v>
      </c>
      <c r="H445" t="s">
        <v>184</v>
      </c>
      <c r="I445" t="s">
        <v>31</v>
      </c>
      <c r="J445">
        <v>2447</v>
      </c>
      <c r="K445" t="s">
        <v>185</v>
      </c>
      <c r="L445">
        <v>4</v>
      </c>
      <c r="M445">
        <v>7.1776</v>
      </c>
      <c r="P445" t="s">
        <v>33</v>
      </c>
      <c r="Q445">
        <v>0</v>
      </c>
      <c r="R445" t="s">
        <v>1272</v>
      </c>
      <c r="S445" t="s">
        <v>1275</v>
      </c>
    </row>
    <row r="446" spans="1:19" hidden="1" x14ac:dyDescent="0.3">
      <c r="A446" t="s">
        <v>775</v>
      </c>
      <c r="B446" t="s">
        <v>776</v>
      </c>
      <c r="C446" t="s">
        <v>731</v>
      </c>
      <c r="D446">
        <v>14198</v>
      </c>
      <c r="E446" t="s">
        <v>73</v>
      </c>
      <c r="F446" t="s">
        <v>74</v>
      </c>
      <c r="G446" t="s">
        <v>75</v>
      </c>
      <c r="H446" t="s">
        <v>76</v>
      </c>
      <c r="I446" t="s">
        <v>31</v>
      </c>
      <c r="J446">
        <v>377</v>
      </c>
      <c r="K446" t="s">
        <v>77</v>
      </c>
      <c r="L446">
        <v>5</v>
      </c>
      <c r="M446">
        <v>6.8028000000000004</v>
      </c>
      <c r="P446" t="s">
        <v>33</v>
      </c>
      <c r="Q446">
        <v>1</v>
      </c>
      <c r="R446" t="s">
        <v>1272</v>
      </c>
      <c r="S446" t="s">
        <v>1338</v>
      </c>
    </row>
    <row r="447" spans="1:19" hidden="1" x14ac:dyDescent="0.3">
      <c r="A447" t="s">
        <v>775</v>
      </c>
      <c r="B447" t="s">
        <v>776</v>
      </c>
      <c r="C447" t="s">
        <v>731</v>
      </c>
      <c r="D447">
        <v>18885</v>
      </c>
      <c r="E447" t="s">
        <v>86</v>
      </c>
      <c r="F447" t="s">
        <v>60</v>
      </c>
      <c r="G447" t="s">
        <v>87</v>
      </c>
      <c r="H447" t="s">
        <v>88</v>
      </c>
      <c r="I447" t="s">
        <v>31</v>
      </c>
      <c r="J447">
        <v>596</v>
      </c>
      <c r="K447" t="s">
        <v>89</v>
      </c>
      <c r="N447">
        <v>5</v>
      </c>
      <c r="O447">
        <v>0.39229999999999998</v>
      </c>
      <c r="P447" t="s">
        <v>38</v>
      </c>
      <c r="Q447">
        <v>0</v>
      </c>
      <c r="R447" t="s">
        <v>1272</v>
      </c>
      <c r="S447" t="s">
        <v>1275</v>
      </c>
    </row>
    <row r="448" spans="1:19" hidden="1" x14ac:dyDescent="0.3">
      <c r="A448" t="s">
        <v>775</v>
      </c>
      <c r="B448" t="s">
        <v>776</v>
      </c>
      <c r="C448" t="s">
        <v>731</v>
      </c>
      <c r="D448">
        <v>16546</v>
      </c>
      <c r="E448" t="s">
        <v>249</v>
      </c>
      <c r="F448" t="s">
        <v>74</v>
      </c>
      <c r="G448" t="s">
        <v>250</v>
      </c>
      <c r="H448" t="s">
        <v>251</v>
      </c>
      <c r="I448" t="s">
        <v>25</v>
      </c>
      <c r="J448">
        <v>238</v>
      </c>
      <c r="K448" t="s">
        <v>252</v>
      </c>
      <c r="L448">
        <v>9</v>
      </c>
      <c r="M448">
        <v>6.1867000000000001</v>
      </c>
      <c r="N448">
        <v>6</v>
      </c>
      <c r="O448">
        <v>0.3921</v>
      </c>
      <c r="P448" t="s">
        <v>27</v>
      </c>
      <c r="Q448">
        <v>1</v>
      </c>
      <c r="R448" t="s">
        <v>1272</v>
      </c>
      <c r="S448" t="s">
        <v>1338</v>
      </c>
    </row>
    <row r="449" spans="1:19" hidden="1" x14ac:dyDescent="0.3">
      <c r="A449" t="s">
        <v>775</v>
      </c>
      <c r="B449" t="s">
        <v>776</v>
      </c>
      <c r="C449" t="s">
        <v>731</v>
      </c>
      <c r="D449">
        <v>19530</v>
      </c>
      <c r="E449" t="s">
        <v>627</v>
      </c>
      <c r="F449" t="s">
        <v>155</v>
      </c>
      <c r="G449" t="s">
        <v>628</v>
      </c>
      <c r="H449" t="s">
        <v>629</v>
      </c>
      <c r="I449" t="s">
        <v>352</v>
      </c>
      <c r="J449">
        <v>282</v>
      </c>
      <c r="K449" t="s">
        <v>630</v>
      </c>
      <c r="L449">
        <v>6</v>
      </c>
      <c r="M449">
        <v>6.7725999999999997</v>
      </c>
      <c r="P449" t="s">
        <v>33</v>
      </c>
      <c r="Q449">
        <v>2</v>
      </c>
      <c r="R449" t="s">
        <v>1272</v>
      </c>
      <c r="S449" t="s">
        <v>1280</v>
      </c>
    </row>
    <row r="450" spans="1:19" hidden="1" x14ac:dyDescent="0.3">
      <c r="A450" t="s">
        <v>775</v>
      </c>
      <c r="B450" t="s">
        <v>776</v>
      </c>
      <c r="C450" t="s">
        <v>731</v>
      </c>
      <c r="D450">
        <v>14103</v>
      </c>
      <c r="E450" t="s">
        <v>509</v>
      </c>
      <c r="F450" t="s">
        <v>74</v>
      </c>
      <c r="G450" t="s">
        <v>510</v>
      </c>
      <c r="H450" t="s">
        <v>511</v>
      </c>
      <c r="I450" t="s">
        <v>31</v>
      </c>
      <c r="J450">
        <v>290</v>
      </c>
      <c r="K450" t="s">
        <v>512</v>
      </c>
      <c r="N450">
        <v>7</v>
      </c>
      <c r="O450">
        <v>0.38819999999999999</v>
      </c>
      <c r="P450" t="s">
        <v>38</v>
      </c>
      <c r="Q450">
        <v>1</v>
      </c>
      <c r="R450" t="s">
        <v>1272</v>
      </c>
      <c r="S450" t="s">
        <v>1338</v>
      </c>
    </row>
    <row r="451" spans="1:19" hidden="1" x14ac:dyDescent="0.3">
      <c r="A451" t="s">
        <v>775</v>
      </c>
      <c r="B451" t="s">
        <v>776</v>
      </c>
      <c r="C451" t="s">
        <v>731</v>
      </c>
      <c r="D451">
        <v>16838</v>
      </c>
      <c r="E451" t="s">
        <v>129</v>
      </c>
      <c r="F451" t="s">
        <v>60</v>
      </c>
      <c r="G451" t="s">
        <v>130</v>
      </c>
      <c r="H451" t="s">
        <v>131</v>
      </c>
      <c r="I451" t="s">
        <v>31</v>
      </c>
      <c r="J451">
        <v>3435</v>
      </c>
      <c r="K451" t="s">
        <v>132</v>
      </c>
      <c r="L451">
        <v>7</v>
      </c>
      <c r="M451">
        <v>6.4741999999999997</v>
      </c>
      <c r="P451" t="s">
        <v>33</v>
      </c>
      <c r="Q451">
        <v>1</v>
      </c>
      <c r="R451" t="s">
        <v>1272</v>
      </c>
      <c r="S451" t="s">
        <v>1338</v>
      </c>
    </row>
    <row r="452" spans="1:19" hidden="1" x14ac:dyDescent="0.3">
      <c r="A452" t="s">
        <v>775</v>
      </c>
      <c r="B452" t="s">
        <v>776</v>
      </c>
      <c r="C452" t="s">
        <v>731</v>
      </c>
      <c r="D452">
        <v>2385</v>
      </c>
      <c r="E452" t="s">
        <v>284</v>
      </c>
      <c r="F452" t="s">
        <v>60</v>
      </c>
      <c r="G452" t="s">
        <v>41</v>
      </c>
      <c r="H452" t="s">
        <v>285</v>
      </c>
      <c r="I452" t="s">
        <v>25</v>
      </c>
      <c r="J452">
        <v>1160</v>
      </c>
      <c r="K452" t="s">
        <v>286</v>
      </c>
      <c r="N452">
        <v>8</v>
      </c>
      <c r="O452">
        <v>0.3866</v>
      </c>
      <c r="P452" t="s">
        <v>38</v>
      </c>
      <c r="Q452">
        <v>0</v>
      </c>
      <c r="R452" t="s">
        <v>1272</v>
      </c>
      <c r="S452" t="s">
        <v>1275</v>
      </c>
    </row>
    <row r="453" spans="1:19" hidden="1" x14ac:dyDescent="0.3">
      <c r="A453" t="s">
        <v>775</v>
      </c>
      <c r="B453" t="s">
        <v>776</v>
      </c>
      <c r="C453" t="s">
        <v>731</v>
      </c>
      <c r="D453">
        <v>19625</v>
      </c>
      <c r="E453" t="s">
        <v>146</v>
      </c>
      <c r="F453" t="s">
        <v>60</v>
      </c>
      <c r="G453" t="s">
        <v>147</v>
      </c>
      <c r="H453" t="s">
        <v>148</v>
      </c>
      <c r="I453" t="s">
        <v>31</v>
      </c>
      <c r="J453">
        <v>588</v>
      </c>
      <c r="K453" t="s">
        <v>149</v>
      </c>
      <c r="L453">
        <v>8</v>
      </c>
      <c r="M453">
        <v>6.2853000000000003</v>
      </c>
      <c r="P453" t="s">
        <v>33</v>
      </c>
      <c r="Q453">
        <v>0</v>
      </c>
      <c r="R453" t="s">
        <v>1272</v>
      </c>
      <c r="S453" t="s">
        <v>1275</v>
      </c>
    </row>
    <row r="454" spans="1:19" hidden="1" x14ac:dyDescent="0.3">
      <c r="A454" t="s">
        <v>775</v>
      </c>
      <c r="B454" t="s">
        <v>776</v>
      </c>
      <c r="C454" t="s">
        <v>731</v>
      </c>
      <c r="D454">
        <v>13514</v>
      </c>
      <c r="E454" t="s">
        <v>64</v>
      </c>
      <c r="F454" t="s">
        <v>60</v>
      </c>
      <c r="G454" t="s">
        <v>65</v>
      </c>
      <c r="H454" t="s">
        <v>66</v>
      </c>
      <c r="I454" t="s">
        <v>31</v>
      </c>
      <c r="J454">
        <v>587</v>
      </c>
      <c r="K454" t="s">
        <v>67</v>
      </c>
      <c r="N454">
        <v>9</v>
      </c>
      <c r="O454">
        <v>0.38240000000000002</v>
      </c>
      <c r="P454" t="s">
        <v>38</v>
      </c>
      <c r="Q454">
        <v>2</v>
      </c>
      <c r="R454" t="s">
        <v>1272</v>
      </c>
      <c r="S454" t="s">
        <v>1280</v>
      </c>
    </row>
    <row r="455" spans="1:19" hidden="1" x14ac:dyDescent="0.3">
      <c r="A455" t="s">
        <v>775</v>
      </c>
      <c r="B455" t="s">
        <v>776</v>
      </c>
      <c r="C455" t="s">
        <v>731</v>
      </c>
      <c r="D455">
        <v>13183</v>
      </c>
      <c r="E455" t="s">
        <v>777</v>
      </c>
      <c r="F455" t="s">
        <v>60</v>
      </c>
      <c r="G455" t="s">
        <v>778</v>
      </c>
      <c r="H455" t="s">
        <v>779</v>
      </c>
      <c r="I455" t="s">
        <v>31</v>
      </c>
      <c r="J455">
        <v>1373</v>
      </c>
      <c r="K455" t="s">
        <v>780</v>
      </c>
      <c r="L455">
        <v>10</v>
      </c>
      <c r="M455">
        <v>6.0781999999999998</v>
      </c>
      <c r="P455" t="s">
        <v>33</v>
      </c>
      <c r="Q455">
        <v>2</v>
      </c>
      <c r="R455" t="s">
        <v>1272</v>
      </c>
      <c r="S455" t="s">
        <v>1280</v>
      </c>
    </row>
    <row r="456" spans="1:19" hidden="1" x14ac:dyDescent="0.3">
      <c r="A456" t="s">
        <v>781</v>
      </c>
      <c r="B456" t="s">
        <v>782</v>
      </c>
      <c r="C456" t="s">
        <v>731</v>
      </c>
      <c r="D456">
        <v>3280</v>
      </c>
      <c r="E456" t="s">
        <v>178</v>
      </c>
      <c r="F456" t="s">
        <v>155</v>
      </c>
      <c r="G456" t="s">
        <v>179</v>
      </c>
      <c r="H456" t="s">
        <v>180</v>
      </c>
      <c r="I456" t="s">
        <v>25</v>
      </c>
      <c r="J456">
        <v>927</v>
      </c>
      <c r="K456" t="s">
        <v>181</v>
      </c>
      <c r="N456">
        <v>1</v>
      </c>
      <c r="O456">
        <v>0.45689999999999997</v>
      </c>
      <c r="P456" t="s">
        <v>38</v>
      </c>
      <c r="Q456">
        <v>2</v>
      </c>
      <c r="R456" t="s">
        <v>1272</v>
      </c>
      <c r="S456" t="s">
        <v>1280</v>
      </c>
    </row>
    <row r="457" spans="1:19" hidden="1" x14ac:dyDescent="0.3">
      <c r="A457" t="s">
        <v>781</v>
      </c>
      <c r="B457" t="s">
        <v>782</v>
      </c>
      <c r="C457" t="s">
        <v>731</v>
      </c>
      <c r="D457">
        <v>12764</v>
      </c>
      <c r="E457" t="s">
        <v>125</v>
      </c>
      <c r="F457" t="s">
        <v>60</v>
      </c>
      <c r="G457" t="s">
        <v>126</v>
      </c>
      <c r="H457" t="s">
        <v>127</v>
      </c>
      <c r="I457" t="s">
        <v>31</v>
      </c>
      <c r="J457">
        <v>442</v>
      </c>
      <c r="K457" t="s">
        <v>128</v>
      </c>
      <c r="L457">
        <v>1</v>
      </c>
      <c r="M457">
        <v>9.7545000000000002</v>
      </c>
      <c r="P457" t="s">
        <v>33</v>
      </c>
      <c r="Q457">
        <v>0</v>
      </c>
      <c r="R457" t="s">
        <v>1272</v>
      </c>
      <c r="S457" t="s">
        <v>1275</v>
      </c>
    </row>
    <row r="458" spans="1:19" hidden="1" x14ac:dyDescent="0.3">
      <c r="A458" t="s">
        <v>781</v>
      </c>
      <c r="B458" t="s">
        <v>782</v>
      </c>
      <c r="C458" t="s">
        <v>731</v>
      </c>
      <c r="D458">
        <v>14198</v>
      </c>
      <c r="E458" t="s">
        <v>73</v>
      </c>
      <c r="F458" t="s">
        <v>74</v>
      </c>
      <c r="G458" t="s">
        <v>75</v>
      </c>
      <c r="H458" t="s">
        <v>76</v>
      </c>
      <c r="I458" t="s">
        <v>31</v>
      </c>
      <c r="J458">
        <v>377</v>
      </c>
      <c r="K458" t="s">
        <v>77</v>
      </c>
      <c r="L458">
        <v>2</v>
      </c>
      <c r="M458">
        <v>8.9144000000000005</v>
      </c>
      <c r="P458" t="s">
        <v>33</v>
      </c>
      <c r="Q458">
        <v>2</v>
      </c>
      <c r="R458" t="s">
        <v>1272</v>
      </c>
      <c r="S458" t="s">
        <v>1280</v>
      </c>
    </row>
    <row r="459" spans="1:19" hidden="1" x14ac:dyDescent="0.3">
      <c r="A459" t="s">
        <v>781</v>
      </c>
      <c r="B459" t="s">
        <v>782</v>
      </c>
      <c r="C459" t="s">
        <v>731</v>
      </c>
      <c r="D459">
        <v>20773</v>
      </c>
      <c r="E459" t="s">
        <v>109</v>
      </c>
      <c r="F459" t="s">
        <v>60</v>
      </c>
      <c r="G459" t="s">
        <v>41</v>
      </c>
      <c r="H459" t="s">
        <v>110</v>
      </c>
      <c r="I459" t="s">
        <v>25</v>
      </c>
      <c r="J459">
        <v>1156</v>
      </c>
      <c r="K459" t="s">
        <v>111</v>
      </c>
      <c r="N459">
        <v>2</v>
      </c>
      <c r="O459">
        <v>0.42620000000000002</v>
      </c>
      <c r="P459" t="s">
        <v>38</v>
      </c>
      <c r="Q459">
        <v>1</v>
      </c>
      <c r="R459" t="s">
        <v>1272</v>
      </c>
      <c r="S459" t="s">
        <v>1339</v>
      </c>
    </row>
    <row r="460" spans="1:19" hidden="1" x14ac:dyDescent="0.3">
      <c r="A460" t="s">
        <v>781</v>
      </c>
      <c r="B460" t="s">
        <v>782</v>
      </c>
      <c r="C460" t="s">
        <v>731</v>
      </c>
      <c r="D460">
        <v>16102</v>
      </c>
      <c r="E460" t="s">
        <v>186</v>
      </c>
      <c r="F460" t="s">
        <v>155</v>
      </c>
      <c r="G460" t="s">
        <v>187</v>
      </c>
      <c r="H460" t="s">
        <v>188</v>
      </c>
      <c r="I460" t="s">
        <v>25</v>
      </c>
      <c r="J460">
        <v>8766</v>
      </c>
      <c r="K460" t="s">
        <v>189</v>
      </c>
      <c r="L460">
        <v>3</v>
      </c>
      <c r="M460">
        <v>6.8186999999999998</v>
      </c>
      <c r="P460" t="s">
        <v>33</v>
      </c>
      <c r="Q460">
        <v>2</v>
      </c>
      <c r="R460" t="s">
        <v>1272</v>
      </c>
      <c r="S460" t="s">
        <v>1280</v>
      </c>
    </row>
    <row r="461" spans="1:19" hidden="1" x14ac:dyDescent="0.3">
      <c r="A461" t="s">
        <v>781</v>
      </c>
      <c r="B461" t="s">
        <v>782</v>
      </c>
      <c r="C461" t="s">
        <v>731</v>
      </c>
      <c r="D461">
        <v>19992</v>
      </c>
      <c r="E461" t="s">
        <v>408</v>
      </c>
      <c r="F461" t="s">
        <v>22</v>
      </c>
      <c r="G461" t="s">
        <v>409</v>
      </c>
      <c r="H461" t="s">
        <v>410</v>
      </c>
      <c r="I461" t="s">
        <v>31</v>
      </c>
      <c r="J461">
        <v>553</v>
      </c>
      <c r="K461" t="s">
        <v>411</v>
      </c>
      <c r="N461">
        <v>3</v>
      </c>
      <c r="O461">
        <v>0.4204</v>
      </c>
      <c r="P461" t="s">
        <v>38</v>
      </c>
      <c r="Q461">
        <v>2</v>
      </c>
      <c r="R461" t="s">
        <v>1272</v>
      </c>
      <c r="S461" t="s">
        <v>1280</v>
      </c>
    </row>
    <row r="462" spans="1:19" hidden="1" x14ac:dyDescent="0.3">
      <c r="A462" t="s">
        <v>781</v>
      </c>
      <c r="B462" t="s">
        <v>782</v>
      </c>
      <c r="C462" t="s">
        <v>731</v>
      </c>
      <c r="D462">
        <v>9821</v>
      </c>
      <c r="E462" t="s">
        <v>21</v>
      </c>
      <c r="F462" t="s">
        <v>22</v>
      </c>
      <c r="G462" t="s">
        <v>23</v>
      </c>
      <c r="H462" t="s">
        <v>24</v>
      </c>
      <c r="I462" t="s">
        <v>25</v>
      </c>
      <c r="J462">
        <v>998</v>
      </c>
      <c r="K462" t="s">
        <v>26</v>
      </c>
      <c r="N462">
        <v>4</v>
      </c>
      <c r="O462">
        <v>0.41649999999999998</v>
      </c>
      <c r="P462" t="s">
        <v>38</v>
      </c>
      <c r="Q462">
        <v>2</v>
      </c>
      <c r="R462" t="s">
        <v>1272</v>
      </c>
      <c r="S462" t="s">
        <v>1280</v>
      </c>
    </row>
    <row r="463" spans="1:19" hidden="1" x14ac:dyDescent="0.3">
      <c r="A463" t="s">
        <v>781</v>
      </c>
      <c r="B463" t="s">
        <v>782</v>
      </c>
      <c r="C463" t="s">
        <v>731</v>
      </c>
      <c r="D463">
        <v>13535</v>
      </c>
      <c r="E463" t="s">
        <v>771</v>
      </c>
      <c r="F463" t="s">
        <v>60</v>
      </c>
      <c r="G463" t="s">
        <v>772</v>
      </c>
      <c r="H463" t="s">
        <v>773</v>
      </c>
      <c r="I463" t="s">
        <v>31</v>
      </c>
      <c r="J463">
        <v>234</v>
      </c>
      <c r="K463" t="s">
        <v>774</v>
      </c>
      <c r="L463">
        <v>4</v>
      </c>
      <c r="M463">
        <v>6.7557</v>
      </c>
      <c r="P463" t="s">
        <v>33</v>
      </c>
      <c r="Q463">
        <v>2</v>
      </c>
      <c r="R463" t="s">
        <v>1272</v>
      </c>
      <c r="S463" t="s">
        <v>1280</v>
      </c>
    </row>
    <row r="464" spans="1:19" hidden="1" x14ac:dyDescent="0.3">
      <c r="A464" t="s">
        <v>781</v>
      </c>
      <c r="B464" t="s">
        <v>782</v>
      </c>
      <c r="C464" t="s">
        <v>731</v>
      </c>
      <c r="D464">
        <v>13886</v>
      </c>
      <c r="E464" t="s">
        <v>445</v>
      </c>
      <c r="F464" t="s">
        <v>425</v>
      </c>
      <c r="G464" t="s">
        <v>390</v>
      </c>
      <c r="H464" t="s">
        <v>446</v>
      </c>
      <c r="I464" t="s">
        <v>31</v>
      </c>
      <c r="J464">
        <v>428</v>
      </c>
      <c r="K464" t="s">
        <v>447</v>
      </c>
      <c r="L464">
        <v>5</v>
      </c>
      <c r="M464">
        <v>6.5242000000000004</v>
      </c>
      <c r="P464" t="s">
        <v>33</v>
      </c>
      <c r="Q464">
        <v>2</v>
      </c>
      <c r="R464" t="s">
        <v>1272</v>
      </c>
      <c r="S464" t="s">
        <v>1280</v>
      </c>
    </row>
    <row r="465" spans="1:19" hidden="1" x14ac:dyDescent="0.3">
      <c r="A465" t="s">
        <v>781</v>
      </c>
      <c r="B465" t="s">
        <v>782</v>
      </c>
      <c r="C465" t="s">
        <v>731</v>
      </c>
      <c r="D465">
        <v>20259</v>
      </c>
      <c r="E465" t="s">
        <v>49</v>
      </c>
      <c r="F465" t="s">
        <v>50</v>
      </c>
      <c r="G465" t="s">
        <v>51</v>
      </c>
      <c r="H465" t="s">
        <v>52</v>
      </c>
      <c r="I465" t="s">
        <v>25</v>
      </c>
      <c r="J465">
        <v>313</v>
      </c>
      <c r="K465" t="s">
        <v>53</v>
      </c>
      <c r="N465">
        <v>5</v>
      </c>
      <c r="O465">
        <v>0.40500000000000003</v>
      </c>
      <c r="P465" t="s">
        <v>38</v>
      </c>
      <c r="Q465">
        <v>1</v>
      </c>
      <c r="R465" t="s">
        <v>1272</v>
      </c>
      <c r="S465" t="s">
        <v>1339</v>
      </c>
    </row>
    <row r="466" spans="1:19" hidden="1" x14ac:dyDescent="0.3">
      <c r="A466" t="s">
        <v>781</v>
      </c>
      <c r="B466" t="s">
        <v>782</v>
      </c>
      <c r="C466" t="s">
        <v>731</v>
      </c>
      <c r="D466">
        <v>15839</v>
      </c>
      <c r="E466" t="s">
        <v>154</v>
      </c>
      <c r="F466" t="s">
        <v>155</v>
      </c>
      <c r="G466" t="s">
        <v>156</v>
      </c>
      <c r="H466" t="s">
        <v>157</v>
      </c>
      <c r="I466" t="s">
        <v>25</v>
      </c>
      <c r="J466">
        <v>298</v>
      </c>
      <c r="K466" t="s">
        <v>158</v>
      </c>
      <c r="L466">
        <v>6</v>
      </c>
      <c r="M466">
        <v>6.2411000000000003</v>
      </c>
      <c r="P466" t="s">
        <v>33</v>
      </c>
      <c r="Q466">
        <v>2</v>
      </c>
      <c r="R466" t="s">
        <v>1272</v>
      </c>
      <c r="S466" t="s">
        <v>1280</v>
      </c>
    </row>
    <row r="467" spans="1:19" hidden="1" x14ac:dyDescent="0.3">
      <c r="A467" t="s">
        <v>781</v>
      </c>
      <c r="B467" t="s">
        <v>782</v>
      </c>
      <c r="C467" t="s">
        <v>731</v>
      </c>
      <c r="D467">
        <v>17519</v>
      </c>
      <c r="E467" t="s">
        <v>34</v>
      </c>
      <c r="F467" t="s">
        <v>22</v>
      </c>
      <c r="G467" t="s">
        <v>35</v>
      </c>
      <c r="H467" t="s">
        <v>36</v>
      </c>
      <c r="I467" t="s">
        <v>25</v>
      </c>
      <c r="J467">
        <v>2690</v>
      </c>
      <c r="K467" t="s">
        <v>37</v>
      </c>
      <c r="N467">
        <v>6</v>
      </c>
      <c r="O467">
        <v>0.40029999999999999</v>
      </c>
      <c r="P467" t="s">
        <v>38</v>
      </c>
      <c r="Q467">
        <v>2</v>
      </c>
      <c r="R467" t="s">
        <v>1272</v>
      </c>
      <c r="S467" t="s">
        <v>1280</v>
      </c>
    </row>
    <row r="468" spans="1:19" hidden="1" x14ac:dyDescent="0.3">
      <c r="A468" t="s">
        <v>781</v>
      </c>
      <c r="B468" t="s">
        <v>782</v>
      </c>
      <c r="C468" t="s">
        <v>731</v>
      </c>
      <c r="D468">
        <v>10433</v>
      </c>
      <c r="E468" t="s">
        <v>424</v>
      </c>
      <c r="F468" t="s">
        <v>425</v>
      </c>
      <c r="G468" t="s">
        <v>426</v>
      </c>
      <c r="H468" t="s">
        <v>427</v>
      </c>
      <c r="I468" t="s">
        <v>25</v>
      </c>
      <c r="J468">
        <v>1153</v>
      </c>
      <c r="K468" t="s">
        <v>428</v>
      </c>
      <c r="L468">
        <v>7</v>
      </c>
      <c r="M468">
        <v>5.6919000000000004</v>
      </c>
      <c r="P468" t="s">
        <v>33</v>
      </c>
      <c r="Q468">
        <v>2</v>
      </c>
      <c r="R468" t="s">
        <v>1272</v>
      </c>
      <c r="S468" t="s">
        <v>1280</v>
      </c>
    </row>
    <row r="469" spans="1:19" hidden="1" x14ac:dyDescent="0.3">
      <c r="A469" t="s">
        <v>781</v>
      </c>
      <c r="B469" t="s">
        <v>782</v>
      </c>
      <c r="C469" t="s">
        <v>731</v>
      </c>
      <c r="D469">
        <v>16859</v>
      </c>
      <c r="E469" t="s">
        <v>783</v>
      </c>
      <c r="F469" t="s">
        <v>22</v>
      </c>
      <c r="G469" t="s">
        <v>784</v>
      </c>
      <c r="H469" t="s">
        <v>785</v>
      </c>
      <c r="I469" t="s">
        <v>31</v>
      </c>
      <c r="J469">
        <v>890</v>
      </c>
      <c r="K469" t="s">
        <v>786</v>
      </c>
      <c r="N469">
        <v>7</v>
      </c>
      <c r="O469">
        <v>0.39950000000000002</v>
      </c>
      <c r="P469" t="s">
        <v>38</v>
      </c>
      <c r="Q469">
        <v>2</v>
      </c>
      <c r="R469" t="s">
        <v>1272</v>
      </c>
      <c r="S469" t="s">
        <v>1280</v>
      </c>
    </row>
    <row r="470" spans="1:19" hidden="1" x14ac:dyDescent="0.3">
      <c r="A470" t="s">
        <v>781</v>
      </c>
      <c r="B470" t="s">
        <v>782</v>
      </c>
      <c r="C470" t="s">
        <v>731</v>
      </c>
      <c r="D470">
        <v>16145</v>
      </c>
      <c r="E470" t="s">
        <v>182</v>
      </c>
      <c r="F470" t="s">
        <v>155</v>
      </c>
      <c r="G470" t="s">
        <v>183</v>
      </c>
      <c r="H470" t="s">
        <v>184</v>
      </c>
      <c r="I470" t="s">
        <v>31</v>
      </c>
      <c r="J470">
        <v>2447</v>
      </c>
      <c r="K470" t="s">
        <v>185</v>
      </c>
      <c r="N470">
        <v>8</v>
      </c>
      <c r="O470">
        <v>0.38879999999999998</v>
      </c>
      <c r="P470" t="s">
        <v>38</v>
      </c>
      <c r="Q470">
        <v>0</v>
      </c>
      <c r="R470" t="s">
        <v>1272</v>
      </c>
      <c r="S470" t="s">
        <v>1275</v>
      </c>
    </row>
    <row r="471" spans="1:19" hidden="1" x14ac:dyDescent="0.3">
      <c r="A471" t="s">
        <v>781</v>
      </c>
      <c r="B471" t="s">
        <v>782</v>
      </c>
      <c r="C471" t="s">
        <v>731</v>
      </c>
      <c r="D471">
        <v>17785</v>
      </c>
      <c r="E471" t="s">
        <v>159</v>
      </c>
      <c r="F471" t="s">
        <v>160</v>
      </c>
      <c r="G471" t="s">
        <v>161</v>
      </c>
      <c r="H471" t="s">
        <v>162</v>
      </c>
      <c r="I471" t="s">
        <v>25</v>
      </c>
      <c r="J471">
        <v>935</v>
      </c>
      <c r="K471" t="s">
        <v>163</v>
      </c>
      <c r="L471">
        <v>8</v>
      </c>
      <c r="M471">
        <v>5.5822000000000003</v>
      </c>
      <c r="P471" t="s">
        <v>33</v>
      </c>
      <c r="Q471">
        <v>0</v>
      </c>
      <c r="R471" t="s">
        <v>1272</v>
      </c>
      <c r="S471" t="s">
        <v>1275</v>
      </c>
    </row>
    <row r="472" spans="1:19" hidden="1" x14ac:dyDescent="0.3">
      <c r="A472" t="s">
        <v>781</v>
      </c>
      <c r="B472" t="s">
        <v>782</v>
      </c>
      <c r="C472" t="s">
        <v>731</v>
      </c>
      <c r="D472">
        <v>12265</v>
      </c>
      <c r="E472" t="s">
        <v>569</v>
      </c>
      <c r="F472" t="s">
        <v>570</v>
      </c>
      <c r="G472" t="s">
        <v>571</v>
      </c>
      <c r="H472" t="s">
        <v>572</v>
      </c>
      <c r="I472" t="s">
        <v>31</v>
      </c>
      <c r="J472">
        <v>227</v>
      </c>
      <c r="K472" t="s">
        <v>573</v>
      </c>
      <c r="L472">
        <v>9</v>
      </c>
      <c r="M472">
        <v>5.4976000000000003</v>
      </c>
      <c r="P472" t="s">
        <v>33</v>
      </c>
      <c r="Q472">
        <v>2</v>
      </c>
      <c r="R472" t="s">
        <v>1272</v>
      </c>
      <c r="S472" t="s">
        <v>1280</v>
      </c>
    </row>
    <row r="473" spans="1:19" hidden="1" x14ac:dyDescent="0.3">
      <c r="A473" t="s">
        <v>781</v>
      </c>
      <c r="B473" t="s">
        <v>782</v>
      </c>
      <c r="C473" t="s">
        <v>731</v>
      </c>
      <c r="D473">
        <v>16814</v>
      </c>
      <c r="E473" t="s">
        <v>787</v>
      </c>
      <c r="F473" t="s">
        <v>60</v>
      </c>
      <c r="G473" t="s">
        <v>788</v>
      </c>
      <c r="H473" t="s">
        <v>789</v>
      </c>
      <c r="I473" t="s">
        <v>25</v>
      </c>
      <c r="J473">
        <v>483</v>
      </c>
      <c r="K473" t="s">
        <v>790</v>
      </c>
      <c r="N473">
        <v>9</v>
      </c>
      <c r="O473">
        <v>0.38440000000000002</v>
      </c>
      <c r="P473" t="s">
        <v>38</v>
      </c>
      <c r="Q473">
        <v>2</v>
      </c>
      <c r="R473" t="s">
        <v>1272</v>
      </c>
      <c r="S473" t="s">
        <v>1280</v>
      </c>
    </row>
    <row r="474" spans="1:19" hidden="1" x14ac:dyDescent="0.3">
      <c r="A474" t="s">
        <v>781</v>
      </c>
      <c r="B474" t="s">
        <v>782</v>
      </c>
      <c r="C474" t="s">
        <v>731</v>
      </c>
      <c r="D474">
        <v>541</v>
      </c>
      <c r="E474" t="s">
        <v>170</v>
      </c>
      <c r="F474" t="s">
        <v>155</v>
      </c>
      <c r="G474" t="s">
        <v>171</v>
      </c>
      <c r="H474" t="s">
        <v>172</v>
      </c>
      <c r="I474" t="s">
        <v>25</v>
      </c>
      <c r="J474">
        <v>738</v>
      </c>
      <c r="K474" t="s">
        <v>173</v>
      </c>
      <c r="L474">
        <v>10</v>
      </c>
      <c r="M474">
        <v>5.1927000000000003</v>
      </c>
      <c r="P474" t="s">
        <v>33</v>
      </c>
      <c r="Q474">
        <v>2</v>
      </c>
      <c r="R474" t="s">
        <v>1272</v>
      </c>
      <c r="S474" t="s">
        <v>1280</v>
      </c>
    </row>
    <row r="475" spans="1:19" hidden="1" x14ac:dyDescent="0.3">
      <c r="A475" t="s">
        <v>781</v>
      </c>
      <c r="B475" t="s">
        <v>782</v>
      </c>
      <c r="C475" t="s">
        <v>731</v>
      </c>
      <c r="D475">
        <v>13481</v>
      </c>
      <c r="E475" t="s">
        <v>270</v>
      </c>
      <c r="F475" t="s">
        <v>55</v>
      </c>
      <c r="G475" t="s">
        <v>271</v>
      </c>
      <c r="H475" t="s">
        <v>272</v>
      </c>
      <c r="I475" t="s">
        <v>31</v>
      </c>
      <c r="J475">
        <v>690</v>
      </c>
      <c r="K475" t="s">
        <v>273</v>
      </c>
      <c r="N475">
        <v>10</v>
      </c>
      <c r="O475">
        <v>0.38429999999999997</v>
      </c>
      <c r="P475" t="s">
        <v>38</v>
      </c>
      <c r="Q475">
        <v>2</v>
      </c>
      <c r="R475" t="s">
        <v>1272</v>
      </c>
      <c r="S475" t="s">
        <v>1280</v>
      </c>
    </row>
    <row r="476" spans="1:19" hidden="1" x14ac:dyDescent="0.3">
      <c r="A476" t="s">
        <v>791</v>
      </c>
      <c r="B476" t="s">
        <v>792</v>
      </c>
      <c r="C476" t="s">
        <v>731</v>
      </c>
      <c r="D476">
        <v>3280</v>
      </c>
      <c r="E476" t="s">
        <v>178</v>
      </c>
      <c r="F476" t="s">
        <v>155</v>
      </c>
      <c r="G476" t="s">
        <v>179</v>
      </c>
      <c r="H476" t="s">
        <v>180</v>
      </c>
      <c r="I476" t="s">
        <v>25</v>
      </c>
      <c r="J476">
        <v>927</v>
      </c>
      <c r="K476" t="s">
        <v>181</v>
      </c>
      <c r="L476">
        <v>5</v>
      </c>
      <c r="M476">
        <v>10.333</v>
      </c>
      <c r="N476">
        <v>1</v>
      </c>
      <c r="O476">
        <v>0.43690000000000001</v>
      </c>
      <c r="P476" t="s">
        <v>27</v>
      </c>
      <c r="Q476">
        <v>2</v>
      </c>
      <c r="R476" t="s">
        <v>1272</v>
      </c>
      <c r="S476" t="s">
        <v>1280</v>
      </c>
    </row>
    <row r="477" spans="1:19" hidden="1" x14ac:dyDescent="0.3">
      <c r="A477" t="s">
        <v>791</v>
      </c>
      <c r="B477" t="s">
        <v>792</v>
      </c>
      <c r="C477" t="s">
        <v>731</v>
      </c>
      <c r="D477">
        <v>15839</v>
      </c>
      <c r="E477" t="s">
        <v>154</v>
      </c>
      <c r="F477" t="s">
        <v>155</v>
      </c>
      <c r="G477" t="s">
        <v>156</v>
      </c>
      <c r="H477" t="s">
        <v>157</v>
      </c>
      <c r="I477" t="s">
        <v>25</v>
      </c>
      <c r="J477">
        <v>298</v>
      </c>
      <c r="K477" t="s">
        <v>158</v>
      </c>
      <c r="L477">
        <v>1</v>
      </c>
      <c r="M477">
        <v>14.1533</v>
      </c>
      <c r="P477" t="s">
        <v>33</v>
      </c>
      <c r="Q477">
        <v>2</v>
      </c>
      <c r="R477" t="s">
        <v>1272</v>
      </c>
      <c r="S477" t="s">
        <v>1280</v>
      </c>
    </row>
    <row r="478" spans="1:19" hidden="1" x14ac:dyDescent="0.3">
      <c r="A478" t="s">
        <v>791</v>
      </c>
      <c r="B478" t="s">
        <v>792</v>
      </c>
      <c r="C478" t="s">
        <v>731</v>
      </c>
      <c r="D478">
        <v>20776</v>
      </c>
      <c r="E478" t="s">
        <v>739</v>
      </c>
      <c r="F478" t="s">
        <v>740</v>
      </c>
      <c r="G478" t="s">
        <v>741</v>
      </c>
      <c r="H478" t="s">
        <v>742</v>
      </c>
      <c r="I478" t="s">
        <v>31</v>
      </c>
      <c r="J478">
        <v>386</v>
      </c>
      <c r="K478" t="s">
        <v>743</v>
      </c>
      <c r="L478">
        <v>2</v>
      </c>
      <c r="M478">
        <v>12.653499999999999</v>
      </c>
      <c r="P478" t="s">
        <v>33</v>
      </c>
      <c r="Q478">
        <v>2</v>
      </c>
      <c r="R478" t="s">
        <v>1272</v>
      </c>
      <c r="S478" t="s">
        <v>1280</v>
      </c>
    </row>
    <row r="479" spans="1:19" hidden="1" x14ac:dyDescent="0.3">
      <c r="A479" t="s">
        <v>791</v>
      </c>
      <c r="B479" t="s">
        <v>792</v>
      </c>
      <c r="C479" t="s">
        <v>731</v>
      </c>
      <c r="D479">
        <v>20777</v>
      </c>
      <c r="E479" t="s">
        <v>174</v>
      </c>
      <c r="F479" t="s">
        <v>155</v>
      </c>
      <c r="G479" t="s">
        <v>175</v>
      </c>
      <c r="H479" t="s">
        <v>176</v>
      </c>
      <c r="I479" t="s">
        <v>31</v>
      </c>
      <c r="J479">
        <v>384</v>
      </c>
      <c r="K479" t="s">
        <v>177</v>
      </c>
      <c r="N479">
        <v>2</v>
      </c>
      <c r="O479">
        <v>0.40189999999999998</v>
      </c>
      <c r="P479" t="s">
        <v>38</v>
      </c>
      <c r="Q479">
        <v>2</v>
      </c>
      <c r="R479" t="s">
        <v>1272</v>
      </c>
      <c r="S479" t="s">
        <v>1280</v>
      </c>
    </row>
    <row r="480" spans="1:19" hidden="1" x14ac:dyDescent="0.3">
      <c r="A480" t="s">
        <v>791</v>
      </c>
      <c r="B480" t="s">
        <v>792</v>
      </c>
      <c r="C480" t="s">
        <v>731</v>
      </c>
      <c r="D480">
        <v>16756</v>
      </c>
      <c r="E480" t="s">
        <v>764</v>
      </c>
      <c r="F480" t="s">
        <v>155</v>
      </c>
      <c r="G480" t="s">
        <v>235</v>
      </c>
      <c r="H480" t="s">
        <v>765</v>
      </c>
      <c r="I480" t="s">
        <v>25</v>
      </c>
      <c r="J480">
        <v>344</v>
      </c>
      <c r="K480" t="s">
        <v>766</v>
      </c>
      <c r="L480">
        <v>3</v>
      </c>
      <c r="M480">
        <v>11.086399999999999</v>
      </c>
      <c r="P480" t="s">
        <v>33</v>
      </c>
      <c r="Q480">
        <v>2</v>
      </c>
      <c r="R480" t="s">
        <v>1272</v>
      </c>
      <c r="S480" t="s">
        <v>1280</v>
      </c>
    </row>
    <row r="481" spans="1:19" hidden="1" x14ac:dyDescent="0.3">
      <c r="A481" t="s">
        <v>791</v>
      </c>
      <c r="B481" t="s">
        <v>792</v>
      </c>
      <c r="C481" t="s">
        <v>731</v>
      </c>
      <c r="D481">
        <v>17133</v>
      </c>
      <c r="E481" t="s">
        <v>306</v>
      </c>
      <c r="F481" t="s">
        <v>155</v>
      </c>
      <c r="G481" t="s">
        <v>187</v>
      </c>
      <c r="H481" t="s">
        <v>307</v>
      </c>
      <c r="I481" t="s">
        <v>31</v>
      </c>
      <c r="J481">
        <v>469</v>
      </c>
      <c r="K481" t="s">
        <v>308</v>
      </c>
      <c r="L481">
        <v>4</v>
      </c>
      <c r="M481">
        <v>11.009</v>
      </c>
      <c r="N481">
        <v>3</v>
      </c>
      <c r="O481">
        <v>0.39460000000000001</v>
      </c>
      <c r="P481" t="s">
        <v>27</v>
      </c>
      <c r="Q481">
        <v>2</v>
      </c>
      <c r="R481" t="s">
        <v>1272</v>
      </c>
      <c r="S481" t="s">
        <v>1280</v>
      </c>
    </row>
    <row r="482" spans="1:19" hidden="1" x14ac:dyDescent="0.3">
      <c r="A482" t="s">
        <v>791</v>
      </c>
      <c r="B482" t="s">
        <v>792</v>
      </c>
      <c r="C482" t="s">
        <v>731</v>
      </c>
      <c r="D482">
        <v>10142</v>
      </c>
      <c r="E482" t="s">
        <v>225</v>
      </c>
      <c r="F482" t="s">
        <v>155</v>
      </c>
      <c r="G482" t="s">
        <v>226</v>
      </c>
      <c r="H482" t="s">
        <v>227</v>
      </c>
      <c r="I482" t="s">
        <v>25</v>
      </c>
      <c r="J482">
        <v>2447</v>
      </c>
      <c r="K482" t="s">
        <v>228</v>
      </c>
      <c r="L482">
        <v>6</v>
      </c>
      <c r="M482">
        <v>9.9252000000000002</v>
      </c>
      <c r="N482">
        <v>4</v>
      </c>
      <c r="O482">
        <v>0.39179999999999998</v>
      </c>
      <c r="P482" t="s">
        <v>27</v>
      </c>
      <c r="Q482">
        <v>2</v>
      </c>
      <c r="R482" t="s">
        <v>1272</v>
      </c>
      <c r="S482" t="s">
        <v>1280</v>
      </c>
    </row>
    <row r="483" spans="1:19" hidden="1" x14ac:dyDescent="0.3">
      <c r="A483" t="s">
        <v>791</v>
      </c>
      <c r="B483" t="s">
        <v>792</v>
      </c>
      <c r="C483" t="s">
        <v>731</v>
      </c>
      <c r="D483">
        <v>17487</v>
      </c>
      <c r="E483" t="s">
        <v>641</v>
      </c>
      <c r="F483" t="s">
        <v>155</v>
      </c>
      <c r="G483" t="s">
        <v>642</v>
      </c>
      <c r="H483" t="s">
        <v>643</v>
      </c>
      <c r="I483" t="s">
        <v>25</v>
      </c>
      <c r="J483">
        <v>827</v>
      </c>
      <c r="K483" t="s">
        <v>644</v>
      </c>
      <c r="N483">
        <v>5</v>
      </c>
      <c r="O483">
        <v>0.37780000000000002</v>
      </c>
      <c r="P483" t="s">
        <v>38</v>
      </c>
      <c r="Q483">
        <v>2</v>
      </c>
      <c r="R483" t="s">
        <v>1272</v>
      </c>
      <c r="S483" t="s">
        <v>1280</v>
      </c>
    </row>
    <row r="484" spans="1:19" hidden="1" x14ac:dyDescent="0.3">
      <c r="A484" t="s">
        <v>791</v>
      </c>
      <c r="B484" t="s">
        <v>792</v>
      </c>
      <c r="C484" t="s">
        <v>731</v>
      </c>
      <c r="D484">
        <v>20595</v>
      </c>
      <c r="E484" t="s">
        <v>190</v>
      </c>
      <c r="F484" t="s">
        <v>191</v>
      </c>
      <c r="G484" t="s">
        <v>192</v>
      </c>
      <c r="H484" t="s">
        <v>193</v>
      </c>
      <c r="I484" t="s">
        <v>25</v>
      </c>
      <c r="J484">
        <v>2941</v>
      </c>
      <c r="K484" t="s">
        <v>194</v>
      </c>
      <c r="N484">
        <v>6</v>
      </c>
      <c r="O484">
        <v>0.37240000000000001</v>
      </c>
      <c r="P484" t="s">
        <v>38</v>
      </c>
      <c r="Q484">
        <v>2</v>
      </c>
      <c r="R484" t="s">
        <v>1272</v>
      </c>
      <c r="S484" t="s">
        <v>1280</v>
      </c>
    </row>
    <row r="485" spans="1:19" hidden="1" x14ac:dyDescent="0.3">
      <c r="A485" t="s">
        <v>791</v>
      </c>
      <c r="B485" t="s">
        <v>792</v>
      </c>
      <c r="C485" t="s">
        <v>731</v>
      </c>
      <c r="D485">
        <v>19982</v>
      </c>
      <c r="E485" t="s">
        <v>28</v>
      </c>
      <c r="F485" t="s">
        <v>22</v>
      </c>
      <c r="G485" t="s">
        <v>29</v>
      </c>
      <c r="H485" t="s">
        <v>30</v>
      </c>
      <c r="I485" t="s">
        <v>31</v>
      </c>
      <c r="J485">
        <v>543</v>
      </c>
      <c r="K485" t="s">
        <v>32</v>
      </c>
      <c r="L485">
        <v>7</v>
      </c>
      <c r="M485">
        <v>9.8389000000000006</v>
      </c>
      <c r="P485" t="s">
        <v>33</v>
      </c>
      <c r="Q485">
        <v>0</v>
      </c>
      <c r="R485" t="s">
        <v>1272</v>
      </c>
      <c r="S485" t="s">
        <v>1275</v>
      </c>
    </row>
    <row r="486" spans="1:19" hidden="1" x14ac:dyDescent="0.3">
      <c r="A486" t="s">
        <v>791</v>
      </c>
      <c r="B486" t="s">
        <v>792</v>
      </c>
      <c r="C486" t="s">
        <v>731</v>
      </c>
      <c r="D486">
        <v>20259</v>
      </c>
      <c r="E486" t="s">
        <v>49</v>
      </c>
      <c r="F486" t="s">
        <v>50</v>
      </c>
      <c r="G486" t="s">
        <v>51</v>
      </c>
      <c r="H486" t="s">
        <v>52</v>
      </c>
      <c r="I486" t="s">
        <v>25</v>
      </c>
      <c r="J486">
        <v>313</v>
      </c>
      <c r="K486" t="s">
        <v>53</v>
      </c>
      <c r="N486">
        <v>7</v>
      </c>
      <c r="O486">
        <v>0.37069999999999997</v>
      </c>
      <c r="P486" t="s">
        <v>38</v>
      </c>
      <c r="Q486">
        <v>0</v>
      </c>
      <c r="R486" t="s">
        <v>1272</v>
      </c>
      <c r="S486" t="s">
        <v>1275</v>
      </c>
    </row>
    <row r="487" spans="1:19" hidden="1" x14ac:dyDescent="0.3">
      <c r="A487" t="s">
        <v>791</v>
      </c>
      <c r="B487" t="s">
        <v>792</v>
      </c>
      <c r="C487" t="s">
        <v>731</v>
      </c>
      <c r="D487">
        <v>19710</v>
      </c>
      <c r="E487" t="s">
        <v>199</v>
      </c>
      <c r="F487" t="s">
        <v>200</v>
      </c>
      <c r="G487" t="s">
        <v>201</v>
      </c>
      <c r="H487" t="s">
        <v>202</v>
      </c>
      <c r="I487" t="s">
        <v>31</v>
      </c>
      <c r="J487">
        <v>262</v>
      </c>
      <c r="K487" t="s">
        <v>203</v>
      </c>
      <c r="L487">
        <v>8</v>
      </c>
      <c r="M487">
        <v>9.6824999999999992</v>
      </c>
      <c r="N487">
        <v>10</v>
      </c>
      <c r="O487">
        <v>0.36459999999999998</v>
      </c>
      <c r="P487" t="s">
        <v>27</v>
      </c>
      <c r="Q487">
        <v>1</v>
      </c>
      <c r="R487" t="s">
        <v>1272</v>
      </c>
      <c r="S487" t="s">
        <v>1338</v>
      </c>
    </row>
    <row r="488" spans="1:19" hidden="1" x14ac:dyDescent="0.3">
      <c r="A488" t="s">
        <v>791</v>
      </c>
      <c r="B488" t="s">
        <v>792</v>
      </c>
      <c r="C488" t="s">
        <v>731</v>
      </c>
      <c r="D488">
        <v>20043</v>
      </c>
      <c r="E488" t="s">
        <v>412</v>
      </c>
      <c r="F488" t="s">
        <v>413</v>
      </c>
      <c r="G488" t="s">
        <v>414</v>
      </c>
      <c r="H488" t="s">
        <v>415</v>
      </c>
      <c r="I488" t="s">
        <v>25</v>
      </c>
      <c r="J488">
        <v>558</v>
      </c>
      <c r="K488" t="s">
        <v>416</v>
      </c>
      <c r="N488">
        <v>8</v>
      </c>
      <c r="O488">
        <v>0.36969999999999997</v>
      </c>
      <c r="P488" t="s">
        <v>38</v>
      </c>
      <c r="Q488">
        <v>2</v>
      </c>
      <c r="R488" t="s">
        <v>1272</v>
      </c>
      <c r="S488" t="s">
        <v>1280</v>
      </c>
    </row>
    <row r="489" spans="1:19" hidden="1" x14ac:dyDescent="0.3">
      <c r="A489" t="s">
        <v>791</v>
      </c>
      <c r="B489" t="s">
        <v>792</v>
      </c>
      <c r="C489" t="s">
        <v>731</v>
      </c>
      <c r="D489">
        <v>17915</v>
      </c>
      <c r="E489" t="s">
        <v>793</v>
      </c>
      <c r="F489" t="s">
        <v>155</v>
      </c>
      <c r="G489" t="s">
        <v>794</v>
      </c>
      <c r="H489" t="s">
        <v>795</v>
      </c>
      <c r="I489" t="s">
        <v>25</v>
      </c>
      <c r="J489">
        <v>688</v>
      </c>
      <c r="K489" t="s">
        <v>796</v>
      </c>
      <c r="L489">
        <v>9</v>
      </c>
      <c r="M489">
        <v>9.5043000000000006</v>
      </c>
      <c r="P489" t="s">
        <v>33</v>
      </c>
      <c r="Q489">
        <v>2</v>
      </c>
      <c r="R489" t="s">
        <v>1272</v>
      </c>
      <c r="S489" t="s">
        <v>1280</v>
      </c>
    </row>
    <row r="490" spans="1:19" hidden="1" x14ac:dyDescent="0.3">
      <c r="A490" t="s">
        <v>791</v>
      </c>
      <c r="B490" t="s">
        <v>792</v>
      </c>
      <c r="C490" t="s">
        <v>731</v>
      </c>
      <c r="D490">
        <v>18703</v>
      </c>
      <c r="E490" t="s">
        <v>116</v>
      </c>
      <c r="F490" t="s">
        <v>117</v>
      </c>
      <c r="G490" t="s">
        <v>118</v>
      </c>
      <c r="H490" t="s">
        <v>119</v>
      </c>
      <c r="I490" t="s">
        <v>31</v>
      </c>
      <c r="J490">
        <v>303</v>
      </c>
      <c r="K490" t="s">
        <v>120</v>
      </c>
      <c r="N490">
        <v>9</v>
      </c>
      <c r="O490">
        <v>0.36720000000000003</v>
      </c>
      <c r="P490" t="s">
        <v>38</v>
      </c>
      <c r="Q490">
        <v>2</v>
      </c>
      <c r="R490" t="s">
        <v>1272</v>
      </c>
      <c r="S490" t="s">
        <v>1280</v>
      </c>
    </row>
    <row r="491" spans="1:19" hidden="1" x14ac:dyDescent="0.3">
      <c r="A491" t="s">
        <v>791</v>
      </c>
      <c r="B491" t="s">
        <v>792</v>
      </c>
      <c r="C491" t="s">
        <v>731</v>
      </c>
      <c r="D491">
        <v>17601</v>
      </c>
      <c r="E491" t="s">
        <v>767</v>
      </c>
      <c r="F491" t="s">
        <v>155</v>
      </c>
      <c r="G491" t="s">
        <v>768</v>
      </c>
      <c r="H491" t="s">
        <v>769</v>
      </c>
      <c r="I491" t="s">
        <v>31</v>
      </c>
      <c r="J491">
        <v>594</v>
      </c>
      <c r="K491" t="s">
        <v>770</v>
      </c>
      <c r="L491">
        <v>10</v>
      </c>
      <c r="M491">
        <v>8.7536000000000005</v>
      </c>
      <c r="P491" t="s">
        <v>33</v>
      </c>
      <c r="Q491">
        <v>2</v>
      </c>
      <c r="R491" t="s">
        <v>1272</v>
      </c>
      <c r="S491" t="s">
        <v>1280</v>
      </c>
    </row>
    <row r="492" spans="1:19" hidden="1" x14ac:dyDescent="0.3">
      <c r="A492" t="s">
        <v>797</v>
      </c>
      <c r="B492" t="s">
        <v>798</v>
      </c>
      <c r="C492" t="s">
        <v>731</v>
      </c>
      <c r="D492">
        <v>16211</v>
      </c>
      <c r="E492" t="s">
        <v>266</v>
      </c>
      <c r="F492" t="s">
        <v>74</v>
      </c>
      <c r="G492" t="s">
        <v>267</v>
      </c>
      <c r="H492" t="s">
        <v>268</v>
      </c>
      <c r="I492" t="s">
        <v>31</v>
      </c>
      <c r="J492">
        <v>1579</v>
      </c>
      <c r="K492" t="s">
        <v>269</v>
      </c>
      <c r="N492">
        <v>1</v>
      </c>
      <c r="O492">
        <v>0.44479999999999997</v>
      </c>
      <c r="P492" t="s">
        <v>38</v>
      </c>
      <c r="Q492">
        <v>2</v>
      </c>
      <c r="R492" t="s">
        <v>1272</v>
      </c>
      <c r="S492" t="s">
        <v>1280</v>
      </c>
    </row>
    <row r="493" spans="1:19" hidden="1" x14ac:dyDescent="0.3">
      <c r="A493" t="s">
        <v>797</v>
      </c>
      <c r="B493" t="s">
        <v>798</v>
      </c>
      <c r="C493" t="s">
        <v>731</v>
      </c>
      <c r="D493">
        <v>19710</v>
      </c>
      <c r="E493" t="s">
        <v>199</v>
      </c>
      <c r="F493" t="s">
        <v>200</v>
      </c>
      <c r="G493" t="s">
        <v>201</v>
      </c>
      <c r="H493" t="s">
        <v>202</v>
      </c>
      <c r="I493" t="s">
        <v>31</v>
      </c>
      <c r="J493">
        <v>262</v>
      </c>
      <c r="K493" t="s">
        <v>203</v>
      </c>
      <c r="L493">
        <v>1</v>
      </c>
      <c r="M493">
        <v>10.6402</v>
      </c>
      <c r="P493" t="s">
        <v>33</v>
      </c>
      <c r="Q493">
        <v>2</v>
      </c>
      <c r="R493" t="s">
        <v>1272</v>
      </c>
      <c r="S493" t="s">
        <v>1280</v>
      </c>
    </row>
    <row r="494" spans="1:19" hidden="1" x14ac:dyDescent="0.3">
      <c r="A494" t="s">
        <v>797</v>
      </c>
      <c r="B494" t="s">
        <v>798</v>
      </c>
      <c r="C494" t="s">
        <v>731</v>
      </c>
      <c r="D494">
        <v>17487</v>
      </c>
      <c r="E494" t="s">
        <v>641</v>
      </c>
      <c r="F494" t="s">
        <v>155</v>
      </c>
      <c r="G494" t="s">
        <v>642</v>
      </c>
      <c r="H494" t="s">
        <v>643</v>
      </c>
      <c r="I494" t="s">
        <v>25</v>
      </c>
      <c r="J494">
        <v>827</v>
      </c>
      <c r="K494" t="s">
        <v>644</v>
      </c>
      <c r="N494">
        <v>2</v>
      </c>
      <c r="O494">
        <v>0.43</v>
      </c>
      <c r="P494" t="s">
        <v>38</v>
      </c>
      <c r="Q494">
        <v>2</v>
      </c>
      <c r="R494" t="s">
        <v>1272</v>
      </c>
      <c r="S494" t="s">
        <v>1280</v>
      </c>
    </row>
    <row r="495" spans="1:19" hidden="1" x14ac:dyDescent="0.3">
      <c r="A495" t="s">
        <v>797</v>
      </c>
      <c r="B495" t="s">
        <v>798</v>
      </c>
      <c r="C495" t="s">
        <v>731</v>
      </c>
      <c r="D495">
        <v>19982</v>
      </c>
      <c r="E495" t="s">
        <v>28</v>
      </c>
      <c r="F495" t="s">
        <v>22</v>
      </c>
      <c r="G495" t="s">
        <v>29</v>
      </c>
      <c r="H495" t="s">
        <v>30</v>
      </c>
      <c r="I495" t="s">
        <v>31</v>
      </c>
      <c r="J495">
        <v>543</v>
      </c>
      <c r="K495" t="s">
        <v>32</v>
      </c>
      <c r="L495">
        <v>2</v>
      </c>
      <c r="M495">
        <v>9.8621999999999996</v>
      </c>
      <c r="P495" t="s">
        <v>33</v>
      </c>
      <c r="Q495">
        <v>2</v>
      </c>
      <c r="R495" t="s">
        <v>1272</v>
      </c>
      <c r="S495" t="s">
        <v>1280</v>
      </c>
    </row>
    <row r="496" spans="1:19" hidden="1" x14ac:dyDescent="0.3">
      <c r="A496" t="s">
        <v>797</v>
      </c>
      <c r="B496" t="s">
        <v>798</v>
      </c>
      <c r="C496" t="s">
        <v>731</v>
      </c>
      <c r="D496">
        <v>14198</v>
      </c>
      <c r="E496" t="s">
        <v>73</v>
      </c>
      <c r="F496" t="s">
        <v>74</v>
      </c>
      <c r="G496" t="s">
        <v>75</v>
      </c>
      <c r="H496" t="s">
        <v>76</v>
      </c>
      <c r="I496" t="s">
        <v>31</v>
      </c>
      <c r="J496">
        <v>377</v>
      </c>
      <c r="K496" t="s">
        <v>77</v>
      </c>
      <c r="L496">
        <v>3</v>
      </c>
      <c r="M496">
        <v>6.6878000000000002</v>
      </c>
      <c r="P496" t="s">
        <v>33</v>
      </c>
      <c r="Q496">
        <v>2</v>
      </c>
      <c r="R496" t="s">
        <v>1272</v>
      </c>
      <c r="S496" t="s">
        <v>1280</v>
      </c>
    </row>
    <row r="497" spans="1:19" hidden="1" x14ac:dyDescent="0.3">
      <c r="A497" t="s">
        <v>797</v>
      </c>
      <c r="B497" t="s">
        <v>798</v>
      </c>
      <c r="C497" t="s">
        <v>731</v>
      </c>
      <c r="D497">
        <v>15013</v>
      </c>
      <c r="E497" t="s">
        <v>59</v>
      </c>
      <c r="F497" t="s">
        <v>60</v>
      </c>
      <c r="G497" t="s">
        <v>61</v>
      </c>
      <c r="H497" t="s">
        <v>62</v>
      </c>
      <c r="I497" t="s">
        <v>25</v>
      </c>
      <c r="J497">
        <v>550</v>
      </c>
      <c r="K497" t="s">
        <v>63</v>
      </c>
      <c r="N497">
        <v>3</v>
      </c>
      <c r="O497">
        <v>0.4224</v>
      </c>
      <c r="P497" t="s">
        <v>38</v>
      </c>
      <c r="Q497">
        <v>1</v>
      </c>
      <c r="R497" t="s">
        <v>1272</v>
      </c>
      <c r="S497" t="s">
        <v>1335</v>
      </c>
    </row>
    <row r="498" spans="1:19" hidden="1" x14ac:dyDescent="0.3">
      <c r="A498" t="s">
        <v>797</v>
      </c>
      <c r="B498" t="s">
        <v>798</v>
      </c>
      <c r="C498" t="s">
        <v>731</v>
      </c>
      <c r="D498">
        <v>17533</v>
      </c>
      <c r="E498" t="s">
        <v>746</v>
      </c>
      <c r="F498" t="s">
        <v>60</v>
      </c>
      <c r="G498" t="s">
        <v>719</v>
      </c>
      <c r="H498" t="s">
        <v>747</v>
      </c>
      <c r="I498" t="s">
        <v>25</v>
      </c>
      <c r="J498">
        <v>907</v>
      </c>
      <c r="K498" t="s">
        <v>748</v>
      </c>
      <c r="L498">
        <v>4</v>
      </c>
      <c r="M498">
        <v>6.6481000000000003</v>
      </c>
      <c r="P498" t="s">
        <v>33</v>
      </c>
      <c r="Q498">
        <v>2</v>
      </c>
      <c r="R498" t="s">
        <v>1272</v>
      </c>
      <c r="S498" t="s">
        <v>1280</v>
      </c>
    </row>
    <row r="499" spans="1:19" hidden="1" x14ac:dyDescent="0.3">
      <c r="A499" t="s">
        <v>797</v>
      </c>
      <c r="B499" t="s">
        <v>798</v>
      </c>
      <c r="C499" t="s">
        <v>731</v>
      </c>
      <c r="D499">
        <v>19312</v>
      </c>
      <c r="E499" t="s">
        <v>321</v>
      </c>
      <c r="F499" t="s">
        <v>322</v>
      </c>
      <c r="G499" t="s">
        <v>323</v>
      </c>
      <c r="H499" t="s">
        <v>324</v>
      </c>
      <c r="I499" t="s">
        <v>31</v>
      </c>
      <c r="J499">
        <v>2453</v>
      </c>
      <c r="K499" t="s">
        <v>325</v>
      </c>
      <c r="N499">
        <v>4</v>
      </c>
      <c r="O499">
        <v>0.41980000000000001</v>
      </c>
      <c r="P499" t="s">
        <v>38</v>
      </c>
      <c r="Q499">
        <v>2</v>
      </c>
      <c r="R499" t="s">
        <v>1272</v>
      </c>
      <c r="S499" t="s">
        <v>1280</v>
      </c>
    </row>
    <row r="500" spans="1:19" hidden="1" x14ac:dyDescent="0.3">
      <c r="A500" t="s">
        <v>797</v>
      </c>
      <c r="B500" t="s">
        <v>798</v>
      </c>
      <c r="C500" t="s">
        <v>731</v>
      </c>
      <c r="D500">
        <v>10730</v>
      </c>
      <c r="E500" t="s">
        <v>317</v>
      </c>
      <c r="F500" t="s">
        <v>60</v>
      </c>
      <c r="G500" t="s">
        <v>318</v>
      </c>
      <c r="H500" t="s">
        <v>319</v>
      </c>
      <c r="I500" t="s">
        <v>25</v>
      </c>
      <c r="J500">
        <v>800</v>
      </c>
      <c r="K500" t="s">
        <v>320</v>
      </c>
      <c r="L500">
        <v>5</v>
      </c>
      <c r="M500">
        <v>5.5330000000000004</v>
      </c>
      <c r="P500" t="s">
        <v>33</v>
      </c>
      <c r="Q500">
        <v>1</v>
      </c>
      <c r="R500" t="s">
        <v>1272</v>
      </c>
      <c r="S500" t="s">
        <v>1335</v>
      </c>
    </row>
    <row r="501" spans="1:19" hidden="1" x14ac:dyDescent="0.3">
      <c r="A501" t="s">
        <v>797</v>
      </c>
      <c r="B501" t="s">
        <v>798</v>
      </c>
      <c r="C501" t="s">
        <v>731</v>
      </c>
      <c r="D501">
        <v>16290</v>
      </c>
      <c r="E501" t="s">
        <v>799</v>
      </c>
      <c r="F501" t="s">
        <v>74</v>
      </c>
      <c r="G501" t="s">
        <v>800</v>
      </c>
      <c r="H501" t="s">
        <v>801</v>
      </c>
      <c r="I501" t="s">
        <v>25</v>
      </c>
      <c r="J501">
        <v>511</v>
      </c>
      <c r="K501" t="s">
        <v>802</v>
      </c>
      <c r="N501">
        <v>5</v>
      </c>
      <c r="O501">
        <v>0.40839999999999999</v>
      </c>
      <c r="P501" t="s">
        <v>38</v>
      </c>
      <c r="Q501">
        <v>1</v>
      </c>
      <c r="R501" t="s">
        <v>1272</v>
      </c>
      <c r="S501" t="s">
        <v>1335</v>
      </c>
    </row>
    <row r="502" spans="1:19" hidden="1" x14ac:dyDescent="0.3">
      <c r="A502" t="s">
        <v>797</v>
      </c>
      <c r="B502" t="s">
        <v>798</v>
      </c>
      <c r="C502" t="s">
        <v>731</v>
      </c>
      <c r="D502">
        <v>15839</v>
      </c>
      <c r="E502" t="s">
        <v>154</v>
      </c>
      <c r="F502" t="s">
        <v>155</v>
      </c>
      <c r="G502" t="s">
        <v>156</v>
      </c>
      <c r="H502" t="s">
        <v>157</v>
      </c>
      <c r="I502" t="s">
        <v>25</v>
      </c>
      <c r="J502">
        <v>298</v>
      </c>
      <c r="K502" t="s">
        <v>158</v>
      </c>
      <c r="L502">
        <v>6</v>
      </c>
      <c r="M502">
        <v>5.4630999999999998</v>
      </c>
      <c r="P502" t="s">
        <v>33</v>
      </c>
      <c r="Q502">
        <v>0</v>
      </c>
      <c r="R502" t="s">
        <v>1272</v>
      </c>
      <c r="S502" t="s">
        <v>1275</v>
      </c>
    </row>
    <row r="503" spans="1:19" hidden="1" x14ac:dyDescent="0.3">
      <c r="A503" t="s">
        <v>797</v>
      </c>
      <c r="B503" t="s">
        <v>798</v>
      </c>
      <c r="C503" t="s">
        <v>731</v>
      </c>
      <c r="D503">
        <v>20773</v>
      </c>
      <c r="E503" t="s">
        <v>109</v>
      </c>
      <c r="F503" t="s">
        <v>60</v>
      </c>
      <c r="G503" t="s">
        <v>41</v>
      </c>
      <c r="H503" t="s">
        <v>110</v>
      </c>
      <c r="I503" t="s">
        <v>25</v>
      </c>
      <c r="J503">
        <v>1156</v>
      </c>
      <c r="K503" t="s">
        <v>111</v>
      </c>
      <c r="N503">
        <v>6</v>
      </c>
      <c r="O503">
        <v>0.40010000000000001</v>
      </c>
      <c r="P503" t="s">
        <v>38</v>
      </c>
      <c r="Q503">
        <v>1</v>
      </c>
      <c r="R503" t="s">
        <v>1272</v>
      </c>
      <c r="S503" t="s">
        <v>1335</v>
      </c>
    </row>
    <row r="504" spans="1:19" hidden="1" x14ac:dyDescent="0.3">
      <c r="A504" t="s">
        <v>797</v>
      </c>
      <c r="B504" t="s">
        <v>798</v>
      </c>
      <c r="C504" t="s">
        <v>731</v>
      </c>
      <c r="D504">
        <v>13970</v>
      </c>
      <c r="E504" t="s">
        <v>287</v>
      </c>
      <c r="F504" t="s">
        <v>288</v>
      </c>
      <c r="G504" t="s">
        <v>289</v>
      </c>
      <c r="H504" t="s">
        <v>290</v>
      </c>
      <c r="I504" t="s">
        <v>31</v>
      </c>
      <c r="J504">
        <v>670</v>
      </c>
      <c r="K504" t="s">
        <v>291</v>
      </c>
      <c r="N504">
        <v>7</v>
      </c>
      <c r="O504">
        <v>0.39900000000000002</v>
      </c>
      <c r="P504" t="s">
        <v>38</v>
      </c>
      <c r="Q504">
        <v>1</v>
      </c>
      <c r="R504" t="s">
        <v>1272</v>
      </c>
      <c r="S504" t="s">
        <v>1335</v>
      </c>
    </row>
    <row r="505" spans="1:19" hidden="1" x14ac:dyDescent="0.3">
      <c r="A505" t="s">
        <v>797</v>
      </c>
      <c r="B505" t="s">
        <v>798</v>
      </c>
      <c r="C505" t="s">
        <v>731</v>
      </c>
      <c r="D505">
        <v>16145</v>
      </c>
      <c r="E505" t="s">
        <v>182</v>
      </c>
      <c r="F505" t="s">
        <v>155</v>
      </c>
      <c r="G505" t="s">
        <v>183</v>
      </c>
      <c r="H505" t="s">
        <v>184</v>
      </c>
      <c r="I505" t="s">
        <v>31</v>
      </c>
      <c r="J505">
        <v>2447</v>
      </c>
      <c r="K505" t="s">
        <v>185</v>
      </c>
      <c r="L505">
        <v>7</v>
      </c>
      <c r="M505">
        <v>5.0730000000000004</v>
      </c>
      <c r="P505" t="s">
        <v>33</v>
      </c>
      <c r="Q505">
        <v>1</v>
      </c>
      <c r="R505" t="s">
        <v>1272</v>
      </c>
      <c r="S505" t="s">
        <v>1335</v>
      </c>
    </row>
    <row r="506" spans="1:19" hidden="1" x14ac:dyDescent="0.3">
      <c r="A506" t="s">
        <v>797</v>
      </c>
      <c r="B506" t="s">
        <v>798</v>
      </c>
      <c r="C506" t="s">
        <v>731</v>
      </c>
      <c r="D506">
        <v>12764</v>
      </c>
      <c r="E506" t="s">
        <v>125</v>
      </c>
      <c r="F506" t="s">
        <v>60</v>
      </c>
      <c r="G506" t="s">
        <v>126</v>
      </c>
      <c r="H506" t="s">
        <v>127</v>
      </c>
      <c r="I506" t="s">
        <v>31</v>
      </c>
      <c r="J506">
        <v>442</v>
      </c>
      <c r="K506" t="s">
        <v>128</v>
      </c>
      <c r="L506">
        <v>8</v>
      </c>
      <c r="M506">
        <v>4.8829000000000002</v>
      </c>
      <c r="P506" t="s">
        <v>33</v>
      </c>
      <c r="Q506">
        <v>2</v>
      </c>
      <c r="R506" t="s">
        <v>1272</v>
      </c>
      <c r="S506" t="s">
        <v>1280</v>
      </c>
    </row>
    <row r="507" spans="1:19" hidden="1" x14ac:dyDescent="0.3">
      <c r="A507" t="s">
        <v>797</v>
      </c>
      <c r="B507" t="s">
        <v>798</v>
      </c>
      <c r="C507" t="s">
        <v>731</v>
      </c>
      <c r="D507">
        <v>20775</v>
      </c>
      <c r="E507" t="s">
        <v>368</v>
      </c>
      <c r="F507" t="s">
        <v>369</v>
      </c>
      <c r="G507" t="s">
        <v>41</v>
      </c>
      <c r="H507" t="s">
        <v>370</v>
      </c>
      <c r="I507" t="s">
        <v>25</v>
      </c>
      <c r="J507">
        <v>912</v>
      </c>
      <c r="K507" t="s">
        <v>371</v>
      </c>
      <c r="N507">
        <v>8</v>
      </c>
      <c r="O507">
        <v>0.39789999999999998</v>
      </c>
      <c r="P507" t="s">
        <v>38</v>
      </c>
      <c r="Q507">
        <v>1</v>
      </c>
      <c r="R507" t="s">
        <v>1272</v>
      </c>
      <c r="S507" t="s">
        <v>1335</v>
      </c>
    </row>
    <row r="508" spans="1:19" hidden="1" x14ac:dyDescent="0.3">
      <c r="A508" t="s">
        <v>797</v>
      </c>
      <c r="B508" t="s">
        <v>798</v>
      </c>
      <c r="C508" t="s">
        <v>731</v>
      </c>
      <c r="D508">
        <v>18885</v>
      </c>
      <c r="E508" t="s">
        <v>86</v>
      </c>
      <c r="F508" t="s">
        <v>60</v>
      </c>
      <c r="G508" t="s">
        <v>87</v>
      </c>
      <c r="H508" t="s">
        <v>88</v>
      </c>
      <c r="I508" t="s">
        <v>31</v>
      </c>
      <c r="J508">
        <v>596</v>
      </c>
      <c r="K508" t="s">
        <v>89</v>
      </c>
      <c r="N508">
        <v>9</v>
      </c>
      <c r="O508">
        <v>0.39589999999999997</v>
      </c>
      <c r="P508" t="s">
        <v>38</v>
      </c>
      <c r="Q508">
        <v>0</v>
      </c>
      <c r="R508" t="s">
        <v>1272</v>
      </c>
      <c r="S508" t="s">
        <v>1275</v>
      </c>
    </row>
    <row r="509" spans="1:19" hidden="1" x14ac:dyDescent="0.3">
      <c r="A509" t="s">
        <v>797</v>
      </c>
      <c r="B509" t="s">
        <v>798</v>
      </c>
      <c r="C509" t="s">
        <v>731</v>
      </c>
      <c r="D509">
        <v>19505</v>
      </c>
      <c r="E509" t="s">
        <v>328</v>
      </c>
      <c r="F509" t="s">
        <v>288</v>
      </c>
      <c r="G509" t="s">
        <v>329</v>
      </c>
      <c r="H509" t="s">
        <v>330</v>
      </c>
      <c r="I509" t="s">
        <v>31</v>
      </c>
      <c r="J509">
        <v>233</v>
      </c>
      <c r="K509" t="s">
        <v>331</v>
      </c>
      <c r="L509">
        <v>9</v>
      </c>
      <c r="M509">
        <v>4.7548000000000004</v>
      </c>
      <c r="P509" t="s">
        <v>33</v>
      </c>
      <c r="Q509">
        <v>2</v>
      </c>
      <c r="R509" t="s">
        <v>1272</v>
      </c>
      <c r="S509" t="s">
        <v>1280</v>
      </c>
    </row>
    <row r="510" spans="1:19" hidden="1" x14ac:dyDescent="0.3">
      <c r="A510" t="s">
        <v>797</v>
      </c>
      <c r="B510" t="s">
        <v>798</v>
      </c>
      <c r="C510" t="s">
        <v>731</v>
      </c>
      <c r="D510">
        <v>171</v>
      </c>
      <c r="E510" t="s">
        <v>102</v>
      </c>
      <c r="F510" t="s">
        <v>103</v>
      </c>
      <c r="G510" t="s">
        <v>104</v>
      </c>
      <c r="H510" t="s">
        <v>105</v>
      </c>
      <c r="I510" t="s">
        <v>31</v>
      </c>
      <c r="J510">
        <v>474</v>
      </c>
      <c r="K510" t="s">
        <v>106</v>
      </c>
      <c r="N510">
        <v>10</v>
      </c>
      <c r="O510">
        <v>0.39290000000000003</v>
      </c>
      <c r="P510" t="s">
        <v>38</v>
      </c>
      <c r="Q510">
        <v>1</v>
      </c>
      <c r="R510" t="s">
        <v>1272</v>
      </c>
      <c r="S510" t="s">
        <v>1335</v>
      </c>
    </row>
    <row r="511" spans="1:19" hidden="1" x14ac:dyDescent="0.3">
      <c r="A511" t="s">
        <v>797</v>
      </c>
      <c r="B511" t="s">
        <v>798</v>
      </c>
      <c r="C511" t="s">
        <v>731</v>
      </c>
      <c r="D511">
        <v>17649</v>
      </c>
      <c r="E511" t="s">
        <v>209</v>
      </c>
      <c r="F511" t="s">
        <v>155</v>
      </c>
      <c r="G511" t="s">
        <v>210</v>
      </c>
      <c r="H511" t="s">
        <v>211</v>
      </c>
      <c r="I511" t="s">
        <v>31</v>
      </c>
      <c r="J511">
        <v>471</v>
      </c>
      <c r="K511" t="s">
        <v>212</v>
      </c>
      <c r="L511">
        <v>10</v>
      </c>
      <c r="M511">
        <v>4.6814</v>
      </c>
      <c r="P511" t="s">
        <v>33</v>
      </c>
      <c r="Q511">
        <v>2</v>
      </c>
      <c r="R511" t="s">
        <v>1272</v>
      </c>
      <c r="S511" t="s">
        <v>1280</v>
      </c>
    </row>
    <row r="512" spans="1:19" hidden="1" x14ac:dyDescent="0.3">
      <c r="A512" t="s">
        <v>803</v>
      </c>
      <c r="B512" t="s">
        <v>804</v>
      </c>
      <c r="C512" t="s">
        <v>731</v>
      </c>
      <c r="D512">
        <v>19317</v>
      </c>
      <c r="E512" t="s">
        <v>44</v>
      </c>
      <c r="F512" t="s">
        <v>45</v>
      </c>
      <c r="G512" t="s">
        <v>46</v>
      </c>
      <c r="H512" t="s">
        <v>47</v>
      </c>
      <c r="I512" t="s">
        <v>31</v>
      </c>
      <c r="J512">
        <v>4168</v>
      </c>
      <c r="K512" t="s">
        <v>48</v>
      </c>
      <c r="L512">
        <v>4</v>
      </c>
      <c r="M512">
        <v>6.7377000000000002</v>
      </c>
      <c r="N512">
        <v>1</v>
      </c>
      <c r="O512">
        <v>0.37959999999999999</v>
      </c>
      <c r="P512" t="s">
        <v>27</v>
      </c>
      <c r="Q512">
        <v>1</v>
      </c>
      <c r="R512" t="s">
        <v>1272</v>
      </c>
      <c r="S512" s="1" t="s">
        <v>1335</v>
      </c>
    </row>
    <row r="513" spans="1:19" hidden="1" x14ac:dyDescent="0.3">
      <c r="A513" t="s">
        <v>803</v>
      </c>
      <c r="B513" t="s">
        <v>804</v>
      </c>
      <c r="C513" t="s">
        <v>731</v>
      </c>
      <c r="D513">
        <v>19710</v>
      </c>
      <c r="E513" t="s">
        <v>199</v>
      </c>
      <c r="F513" t="s">
        <v>200</v>
      </c>
      <c r="G513" t="s">
        <v>201</v>
      </c>
      <c r="H513" t="s">
        <v>202</v>
      </c>
      <c r="I513" t="s">
        <v>31</v>
      </c>
      <c r="J513">
        <v>262</v>
      </c>
      <c r="K513" t="s">
        <v>203</v>
      </c>
      <c r="L513">
        <v>1</v>
      </c>
      <c r="M513">
        <v>8.0874000000000006</v>
      </c>
      <c r="P513" t="s">
        <v>33</v>
      </c>
      <c r="Q513">
        <v>1</v>
      </c>
      <c r="R513" t="s">
        <v>1272</v>
      </c>
      <c r="S513" s="1" t="s">
        <v>1335</v>
      </c>
    </row>
    <row r="514" spans="1:19" hidden="1" x14ac:dyDescent="0.3">
      <c r="A514" t="s">
        <v>803</v>
      </c>
      <c r="B514" t="s">
        <v>804</v>
      </c>
      <c r="C514" t="s">
        <v>731</v>
      </c>
      <c r="D514">
        <v>18885</v>
      </c>
      <c r="E514" t="s">
        <v>86</v>
      </c>
      <c r="F514" t="s">
        <v>60</v>
      </c>
      <c r="G514" t="s">
        <v>87</v>
      </c>
      <c r="H514" t="s">
        <v>88</v>
      </c>
      <c r="I514" t="s">
        <v>31</v>
      </c>
      <c r="J514">
        <v>596</v>
      </c>
      <c r="K514" t="s">
        <v>89</v>
      </c>
      <c r="N514">
        <v>2</v>
      </c>
      <c r="O514">
        <v>0.37509999999999999</v>
      </c>
      <c r="P514" t="s">
        <v>38</v>
      </c>
      <c r="Q514">
        <v>1</v>
      </c>
      <c r="R514" t="s">
        <v>1272</v>
      </c>
      <c r="S514" s="1" t="s">
        <v>1335</v>
      </c>
    </row>
    <row r="515" spans="1:19" hidden="1" x14ac:dyDescent="0.3">
      <c r="A515" t="s">
        <v>803</v>
      </c>
      <c r="B515" t="s">
        <v>804</v>
      </c>
      <c r="C515" t="s">
        <v>731</v>
      </c>
      <c r="D515">
        <v>19982</v>
      </c>
      <c r="E515" t="s">
        <v>28</v>
      </c>
      <c r="F515" t="s">
        <v>22</v>
      </c>
      <c r="G515" t="s">
        <v>29</v>
      </c>
      <c r="H515" t="s">
        <v>30</v>
      </c>
      <c r="I515" t="s">
        <v>31</v>
      </c>
      <c r="J515">
        <v>543</v>
      </c>
      <c r="K515" t="s">
        <v>32</v>
      </c>
      <c r="L515">
        <v>2</v>
      </c>
      <c r="M515">
        <v>8.0100999999999996</v>
      </c>
      <c r="P515" t="s">
        <v>33</v>
      </c>
      <c r="Q515">
        <v>0</v>
      </c>
      <c r="R515" t="s">
        <v>1272</v>
      </c>
      <c r="S515" s="1" t="s">
        <v>1275</v>
      </c>
    </row>
    <row r="516" spans="1:19" hidden="1" x14ac:dyDescent="0.3">
      <c r="A516" t="s">
        <v>803</v>
      </c>
      <c r="B516" t="s">
        <v>804</v>
      </c>
      <c r="C516" t="s">
        <v>731</v>
      </c>
      <c r="D516">
        <v>19400</v>
      </c>
      <c r="E516" t="s">
        <v>805</v>
      </c>
      <c r="F516" t="s">
        <v>60</v>
      </c>
      <c r="G516" t="s">
        <v>806</v>
      </c>
      <c r="H516" t="s">
        <v>807</v>
      </c>
      <c r="I516" t="s">
        <v>31</v>
      </c>
      <c r="J516">
        <v>534</v>
      </c>
      <c r="K516" t="s">
        <v>808</v>
      </c>
      <c r="L516">
        <v>3</v>
      </c>
      <c r="M516">
        <v>6.7601000000000004</v>
      </c>
      <c r="P516" t="s">
        <v>33</v>
      </c>
      <c r="Q516">
        <v>2</v>
      </c>
      <c r="R516" t="s">
        <v>1272</v>
      </c>
      <c r="S516" s="1" t="s">
        <v>1280</v>
      </c>
    </row>
    <row r="517" spans="1:19" hidden="1" x14ac:dyDescent="0.3">
      <c r="A517" t="s">
        <v>803</v>
      </c>
      <c r="B517" t="s">
        <v>804</v>
      </c>
      <c r="C517" t="s">
        <v>731</v>
      </c>
      <c r="D517">
        <v>20773</v>
      </c>
      <c r="E517" t="s">
        <v>109</v>
      </c>
      <c r="F517" t="s">
        <v>60</v>
      </c>
      <c r="G517" t="s">
        <v>41</v>
      </c>
      <c r="H517" t="s">
        <v>110</v>
      </c>
      <c r="I517" t="s">
        <v>25</v>
      </c>
      <c r="J517">
        <v>1156</v>
      </c>
      <c r="K517" t="s">
        <v>111</v>
      </c>
      <c r="N517">
        <v>3</v>
      </c>
      <c r="O517">
        <v>0.374</v>
      </c>
      <c r="P517" t="s">
        <v>38</v>
      </c>
      <c r="Q517">
        <v>0</v>
      </c>
      <c r="R517" t="s">
        <v>1272</v>
      </c>
      <c r="S517" s="1" t="s">
        <v>1275</v>
      </c>
    </row>
    <row r="518" spans="1:19" hidden="1" x14ac:dyDescent="0.3">
      <c r="A518" t="s">
        <v>803</v>
      </c>
      <c r="B518" t="s">
        <v>804</v>
      </c>
      <c r="C518" t="s">
        <v>731</v>
      </c>
      <c r="D518">
        <v>16201</v>
      </c>
      <c r="E518" t="s">
        <v>349</v>
      </c>
      <c r="F518" t="s">
        <v>288</v>
      </c>
      <c r="G518" t="s">
        <v>350</v>
      </c>
      <c r="H518" t="s">
        <v>351</v>
      </c>
      <c r="I518" t="s">
        <v>352</v>
      </c>
      <c r="J518">
        <v>1213</v>
      </c>
      <c r="K518" t="s">
        <v>353</v>
      </c>
      <c r="N518">
        <v>4</v>
      </c>
      <c r="O518">
        <v>0.36430000000000001</v>
      </c>
      <c r="P518" t="s">
        <v>38</v>
      </c>
      <c r="Q518">
        <v>2</v>
      </c>
      <c r="R518" t="s">
        <v>1272</v>
      </c>
      <c r="S518" s="1" t="s">
        <v>1280</v>
      </c>
    </row>
    <row r="519" spans="1:19" hidden="1" x14ac:dyDescent="0.3">
      <c r="A519" t="s">
        <v>803</v>
      </c>
      <c r="B519" t="s">
        <v>804</v>
      </c>
      <c r="C519" t="s">
        <v>731</v>
      </c>
      <c r="D519">
        <v>16290</v>
      </c>
      <c r="E519" t="s">
        <v>799</v>
      </c>
      <c r="F519" t="s">
        <v>74</v>
      </c>
      <c r="G519" t="s">
        <v>800</v>
      </c>
      <c r="H519" t="s">
        <v>801</v>
      </c>
      <c r="I519" t="s">
        <v>25</v>
      </c>
      <c r="J519">
        <v>511</v>
      </c>
      <c r="K519" t="s">
        <v>802</v>
      </c>
      <c r="N519">
        <v>5</v>
      </c>
      <c r="O519">
        <v>0.36080000000000001</v>
      </c>
      <c r="P519" t="s">
        <v>38</v>
      </c>
      <c r="Q519">
        <v>1</v>
      </c>
      <c r="R519" t="s">
        <v>1272</v>
      </c>
      <c r="S519" s="1" t="s">
        <v>1335</v>
      </c>
    </row>
    <row r="520" spans="1:19" hidden="1" x14ac:dyDescent="0.3">
      <c r="A520" t="s">
        <v>803</v>
      </c>
      <c r="B520" t="s">
        <v>804</v>
      </c>
      <c r="C520" t="s">
        <v>731</v>
      </c>
      <c r="D520">
        <v>17533</v>
      </c>
      <c r="E520" t="s">
        <v>746</v>
      </c>
      <c r="F520" t="s">
        <v>60</v>
      </c>
      <c r="G520" t="s">
        <v>719</v>
      </c>
      <c r="H520" t="s">
        <v>747</v>
      </c>
      <c r="I520" t="s">
        <v>25</v>
      </c>
      <c r="J520">
        <v>907</v>
      </c>
      <c r="K520" t="s">
        <v>748</v>
      </c>
      <c r="L520">
        <v>5</v>
      </c>
      <c r="M520">
        <v>5.9215</v>
      </c>
      <c r="P520" t="s">
        <v>33</v>
      </c>
      <c r="Q520">
        <v>1</v>
      </c>
      <c r="R520" t="s">
        <v>1272</v>
      </c>
      <c r="S520" s="1" t="s">
        <v>1335</v>
      </c>
    </row>
    <row r="521" spans="1:19" hidden="1" x14ac:dyDescent="0.3">
      <c r="A521" t="s">
        <v>803</v>
      </c>
      <c r="B521" t="s">
        <v>804</v>
      </c>
      <c r="C521" t="s">
        <v>731</v>
      </c>
      <c r="D521">
        <v>9820</v>
      </c>
      <c r="E521" t="s">
        <v>150</v>
      </c>
      <c r="F521" t="s">
        <v>60</v>
      </c>
      <c r="G521" t="s">
        <v>151</v>
      </c>
      <c r="H521" t="s">
        <v>152</v>
      </c>
      <c r="I521" t="s">
        <v>25</v>
      </c>
      <c r="J521">
        <v>2512</v>
      </c>
      <c r="K521" t="s">
        <v>153</v>
      </c>
      <c r="N521">
        <v>6</v>
      </c>
      <c r="O521">
        <v>0.35759999999999997</v>
      </c>
      <c r="P521" t="s">
        <v>38</v>
      </c>
      <c r="Q521">
        <v>0</v>
      </c>
      <c r="R521" t="s">
        <v>1272</v>
      </c>
      <c r="S521" s="1" t="s">
        <v>1275</v>
      </c>
    </row>
    <row r="522" spans="1:19" hidden="1" x14ac:dyDescent="0.3">
      <c r="A522" t="s">
        <v>803</v>
      </c>
      <c r="B522" t="s">
        <v>804</v>
      </c>
      <c r="C522" t="s">
        <v>731</v>
      </c>
      <c r="D522">
        <v>16100</v>
      </c>
      <c r="E522" t="s">
        <v>732</v>
      </c>
      <c r="F522" t="s">
        <v>155</v>
      </c>
      <c r="G522" t="s">
        <v>472</v>
      </c>
      <c r="H522" t="s">
        <v>733</v>
      </c>
      <c r="I522" t="s">
        <v>31</v>
      </c>
      <c r="J522">
        <v>1444</v>
      </c>
      <c r="K522" t="s">
        <v>734</v>
      </c>
      <c r="L522">
        <v>6</v>
      </c>
      <c r="M522">
        <v>5.7567000000000004</v>
      </c>
      <c r="P522" t="s">
        <v>33</v>
      </c>
      <c r="Q522">
        <v>2</v>
      </c>
      <c r="R522" t="s">
        <v>1272</v>
      </c>
      <c r="S522" s="1" t="s">
        <v>1280</v>
      </c>
    </row>
    <row r="523" spans="1:19" hidden="1" x14ac:dyDescent="0.3">
      <c r="A523" t="s">
        <v>803</v>
      </c>
      <c r="B523" t="s">
        <v>804</v>
      </c>
      <c r="C523" t="s">
        <v>731</v>
      </c>
      <c r="D523">
        <v>10730</v>
      </c>
      <c r="E523" t="s">
        <v>317</v>
      </c>
      <c r="F523" t="s">
        <v>60</v>
      </c>
      <c r="G523" t="s">
        <v>318</v>
      </c>
      <c r="H523" t="s">
        <v>319</v>
      </c>
      <c r="I523" t="s">
        <v>25</v>
      </c>
      <c r="J523">
        <v>800</v>
      </c>
      <c r="K523" t="s">
        <v>320</v>
      </c>
      <c r="L523">
        <v>7</v>
      </c>
      <c r="M523">
        <v>5.5330000000000004</v>
      </c>
      <c r="P523" t="s">
        <v>33</v>
      </c>
      <c r="Q523">
        <v>2</v>
      </c>
      <c r="R523" t="s">
        <v>1272</v>
      </c>
      <c r="S523" s="1" t="s">
        <v>1280</v>
      </c>
    </row>
    <row r="524" spans="1:19" hidden="1" x14ac:dyDescent="0.3">
      <c r="A524" t="s">
        <v>803</v>
      </c>
      <c r="B524" t="s">
        <v>804</v>
      </c>
      <c r="C524" t="s">
        <v>731</v>
      </c>
      <c r="D524">
        <v>16211</v>
      </c>
      <c r="E524" t="s">
        <v>266</v>
      </c>
      <c r="F524" t="s">
        <v>74</v>
      </c>
      <c r="G524" t="s">
        <v>267</v>
      </c>
      <c r="H524" t="s">
        <v>268</v>
      </c>
      <c r="I524" t="s">
        <v>31</v>
      </c>
      <c r="J524">
        <v>1579</v>
      </c>
      <c r="K524" t="s">
        <v>269</v>
      </c>
      <c r="N524">
        <v>7</v>
      </c>
      <c r="O524">
        <v>0.35709999999999997</v>
      </c>
      <c r="P524" t="s">
        <v>38</v>
      </c>
      <c r="Q524">
        <v>1</v>
      </c>
      <c r="R524" t="s">
        <v>1272</v>
      </c>
      <c r="S524" s="1" t="s">
        <v>1335</v>
      </c>
    </row>
    <row r="525" spans="1:19" hidden="1" x14ac:dyDescent="0.3">
      <c r="A525" t="s">
        <v>803</v>
      </c>
      <c r="B525" t="s">
        <v>804</v>
      </c>
      <c r="C525" t="s">
        <v>731</v>
      </c>
      <c r="D525">
        <v>15013</v>
      </c>
      <c r="E525" t="s">
        <v>59</v>
      </c>
      <c r="F525" t="s">
        <v>60</v>
      </c>
      <c r="G525" t="s">
        <v>61</v>
      </c>
      <c r="H525" t="s">
        <v>62</v>
      </c>
      <c r="I525" t="s">
        <v>25</v>
      </c>
      <c r="J525">
        <v>550</v>
      </c>
      <c r="K525" t="s">
        <v>63</v>
      </c>
      <c r="N525">
        <v>8</v>
      </c>
      <c r="O525">
        <v>0.35370000000000001</v>
      </c>
      <c r="P525" t="s">
        <v>38</v>
      </c>
      <c r="Q525">
        <v>0</v>
      </c>
      <c r="R525" t="s">
        <v>1272</v>
      </c>
      <c r="S525" s="1" t="s">
        <v>1334</v>
      </c>
    </row>
    <row r="526" spans="1:19" hidden="1" x14ac:dyDescent="0.3">
      <c r="A526" t="s">
        <v>803</v>
      </c>
      <c r="B526" t="s">
        <v>804</v>
      </c>
      <c r="C526" t="s">
        <v>731</v>
      </c>
      <c r="D526">
        <v>15839</v>
      </c>
      <c r="E526" t="s">
        <v>154</v>
      </c>
      <c r="F526" t="s">
        <v>155</v>
      </c>
      <c r="G526" t="s">
        <v>156</v>
      </c>
      <c r="H526" t="s">
        <v>157</v>
      </c>
      <c r="I526" t="s">
        <v>25</v>
      </c>
      <c r="J526">
        <v>298</v>
      </c>
      <c r="K526" t="s">
        <v>158</v>
      </c>
      <c r="L526">
        <v>8</v>
      </c>
      <c r="M526">
        <v>5.4630999999999998</v>
      </c>
      <c r="P526" t="s">
        <v>33</v>
      </c>
      <c r="Q526">
        <v>0</v>
      </c>
      <c r="R526" t="s">
        <v>1272</v>
      </c>
      <c r="S526" s="1" t="s">
        <v>1334</v>
      </c>
    </row>
    <row r="527" spans="1:19" hidden="1" x14ac:dyDescent="0.3">
      <c r="A527" t="s">
        <v>803</v>
      </c>
      <c r="B527" t="s">
        <v>804</v>
      </c>
      <c r="C527" t="s">
        <v>731</v>
      </c>
      <c r="D527">
        <v>8524</v>
      </c>
      <c r="E527" t="s">
        <v>676</v>
      </c>
      <c r="F527" t="s">
        <v>668</v>
      </c>
      <c r="G527" t="s">
        <v>677</v>
      </c>
      <c r="H527" t="s">
        <v>678</v>
      </c>
      <c r="I527" t="s">
        <v>25</v>
      </c>
      <c r="J527">
        <v>226</v>
      </c>
      <c r="K527" t="s">
        <v>679</v>
      </c>
      <c r="N527">
        <v>9</v>
      </c>
      <c r="O527">
        <v>0.3523</v>
      </c>
      <c r="P527" t="s">
        <v>38</v>
      </c>
      <c r="Q527">
        <v>1</v>
      </c>
      <c r="R527" t="s">
        <v>1272</v>
      </c>
      <c r="S527" s="1" t="s">
        <v>1335</v>
      </c>
    </row>
    <row r="528" spans="1:19" hidden="1" x14ac:dyDescent="0.3">
      <c r="A528" t="s">
        <v>803</v>
      </c>
      <c r="B528" t="s">
        <v>804</v>
      </c>
      <c r="C528" t="s">
        <v>731</v>
      </c>
      <c r="D528">
        <v>14198</v>
      </c>
      <c r="E528" t="s">
        <v>73</v>
      </c>
      <c r="F528" t="s">
        <v>74</v>
      </c>
      <c r="G528" t="s">
        <v>75</v>
      </c>
      <c r="H528" t="s">
        <v>76</v>
      </c>
      <c r="I528" t="s">
        <v>31</v>
      </c>
      <c r="J528">
        <v>377</v>
      </c>
      <c r="K528" t="s">
        <v>77</v>
      </c>
      <c r="L528">
        <v>9</v>
      </c>
      <c r="M528">
        <v>5.1509</v>
      </c>
      <c r="P528" t="s">
        <v>33</v>
      </c>
      <c r="Q528">
        <v>1</v>
      </c>
      <c r="R528" t="s">
        <v>1272</v>
      </c>
      <c r="S528" s="1" t="s">
        <v>1335</v>
      </c>
    </row>
    <row r="529" spans="1:19" hidden="1" x14ac:dyDescent="0.3">
      <c r="A529" t="s">
        <v>803</v>
      </c>
      <c r="B529" t="s">
        <v>804</v>
      </c>
      <c r="C529" t="s">
        <v>731</v>
      </c>
      <c r="D529">
        <v>13739</v>
      </c>
      <c r="E529" t="s">
        <v>358</v>
      </c>
      <c r="F529" t="s">
        <v>288</v>
      </c>
      <c r="G529" t="s">
        <v>359</v>
      </c>
      <c r="H529" t="s">
        <v>360</v>
      </c>
      <c r="I529" t="s">
        <v>31</v>
      </c>
      <c r="J529">
        <v>610</v>
      </c>
      <c r="K529" t="s">
        <v>361</v>
      </c>
      <c r="L529">
        <v>10</v>
      </c>
      <c r="M529">
        <v>4.9420999999999999</v>
      </c>
      <c r="P529" t="s">
        <v>33</v>
      </c>
      <c r="Q529">
        <v>1</v>
      </c>
      <c r="R529" t="s">
        <v>1272</v>
      </c>
      <c r="S529" s="1" t="s">
        <v>1335</v>
      </c>
    </row>
    <row r="530" spans="1:19" hidden="1" x14ac:dyDescent="0.3">
      <c r="A530" t="s">
        <v>803</v>
      </c>
      <c r="B530" t="s">
        <v>804</v>
      </c>
      <c r="C530" t="s">
        <v>731</v>
      </c>
      <c r="D530">
        <v>14103</v>
      </c>
      <c r="E530" t="s">
        <v>509</v>
      </c>
      <c r="F530" t="s">
        <v>74</v>
      </c>
      <c r="G530" t="s">
        <v>510</v>
      </c>
      <c r="H530" t="s">
        <v>511</v>
      </c>
      <c r="I530" t="s">
        <v>31</v>
      </c>
      <c r="J530">
        <v>290</v>
      </c>
      <c r="K530" t="s">
        <v>512</v>
      </c>
      <c r="N530">
        <v>10</v>
      </c>
      <c r="O530">
        <v>0.35170000000000001</v>
      </c>
      <c r="P530" t="s">
        <v>38</v>
      </c>
      <c r="Q530">
        <v>2</v>
      </c>
      <c r="R530" t="s">
        <v>1272</v>
      </c>
      <c r="S530" s="1" t="s">
        <v>1280</v>
      </c>
    </row>
    <row r="531" spans="1:19" hidden="1" x14ac:dyDescent="0.3">
      <c r="A531" t="s">
        <v>809</v>
      </c>
      <c r="B531" t="s">
        <v>810</v>
      </c>
      <c r="C531" t="s">
        <v>731</v>
      </c>
      <c r="D531">
        <v>19982</v>
      </c>
      <c r="E531" t="s">
        <v>28</v>
      </c>
      <c r="F531" t="s">
        <v>22</v>
      </c>
      <c r="G531" t="s">
        <v>29</v>
      </c>
      <c r="H531" t="s">
        <v>30</v>
      </c>
      <c r="I531" t="s">
        <v>31</v>
      </c>
      <c r="J531">
        <v>543</v>
      </c>
      <c r="K531" t="s">
        <v>32</v>
      </c>
      <c r="L531">
        <v>1</v>
      </c>
      <c r="M531">
        <v>12.587999999999999</v>
      </c>
      <c r="P531" t="s">
        <v>33</v>
      </c>
      <c r="Q531">
        <v>2</v>
      </c>
      <c r="R531" t="s">
        <v>1272</v>
      </c>
      <c r="S531" s="1" t="s">
        <v>1280</v>
      </c>
    </row>
    <row r="532" spans="1:19" hidden="1" x14ac:dyDescent="0.3">
      <c r="A532" t="s">
        <v>809</v>
      </c>
      <c r="B532" t="s">
        <v>810</v>
      </c>
      <c r="C532" t="s">
        <v>731</v>
      </c>
      <c r="D532">
        <v>20773</v>
      </c>
      <c r="E532" t="s">
        <v>109</v>
      </c>
      <c r="F532" t="s">
        <v>60</v>
      </c>
      <c r="G532" t="s">
        <v>41</v>
      </c>
      <c r="H532" t="s">
        <v>110</v>
      </c>
      <c r="I532" t="s">
        <v>25</v>
      </c>
      <c r="J532">
        <v>1156</v>
      </c>
      <c r="K532" t="s">
        <v>111</v>
      </c>
      <c r="N532">
        <v>1</v>
      </c>
      <c r="O532">
        <v>0.46529999999999999</v>
      </c>
      <c r="P532" t="s">
        <v>38</v>
      </c>
      <c r="Q532">
        <v>1</v>
      </c>
      <c r="R532" t="s">
        <v>1272</v>
      </c>
      <c r="S532" s="1" t="s">
        <v>1335</v>
      </c>
    </row>
    <row r="533" spans="1:19" hidden="1" x14ac:dyDescent="0.3">
      <c r="A533" t="s">
        <v>809</v>
      </c>
      <c r="B533" t="s">
        <v>810</v>
      </c>
      <c r="C533" t="s">
        <v>731</v>
      </c>
      <c r="D533">
        <v>9820</v>
      </c>
      <c r="E533" t="s">
        <v>150</v>
      </c>
      <c r="F533" t="s">
        <v>60</v>
      </c>
      <c r="G533" t="s">
        <v>151</v>
      </c>
      <c r="H533" t="s">
        <v>152</v>
      </c>
      <c r="I533" t="s">
        <v>25</v>
      </c>
      <c r="J533">
        <v>2512</v>
      </c>
      <c r="K533" t="s">
        <v>153</v>
      </c>
      <c r="N533">
        <v>2</v>
      </c>
      <c r="O533">
        <v>0.46139999999999998</v>
      </c>
      <c r="P533" t="s">
        <v>38</v>
      </c>
      <c r="Q533">
        <v>1</v>
      </c>
      <c r="R533" t="s">
        <v>1272</v>
      </c>
      <c r="S533" s="1" t="s">
        <v>1335</v>
      </c>
    </row>
    <row r="534" spans="1:19" hidden="1" x14ac:dyDescent="0.3">
      <c r="A534" t="s">
        <v>809</v>
      </c>
      <c r="B534" t="s">
        <v>810</v>
      </c>
      <c r="C534" t="s">
        <v>731</v>
      </c>
      <c r="D534">
        <v>19710</v>
      </c>
      <c r="E534" t="s">
        <v>199</v>
      </c>
      <c r="F534" t="s">
        <v>200</v>
      </c>
      <c r="G534" t="s">
        <v>201</v>
      </c>
      <c r="H534" t="s">
        <v>202</v>
      </c>
      <c r="I534" t="s">
        <v>31</v>
      </c>
      <c r="J534">
        <v>262</v>
      </c>
      <c r="K534" t="s">
        <v>203</v>
      </c>
      <c r="L534">
        <v>2</v>
      </c>
      <c r="M534">
        <v>8.7235999999999994</v>
      </c>
      <c r="P534" t="s">
        <v>33</v>
      </c>
      <c r="Q534">
        <v>0</v>
      </c>
      <c r="R534" t="s">
        <v>1272</v>
      </c>
      <c r="S534" s="1" t="s">
        <v>1334</v>
      </c>
    </row>
    <row r="535" spans="1:19" hidden="1" x14ac:dyDescent="0.3">
      <c r="A535" t="s">
        <v>809</v>
      </c>
      <c r="B535" t="s">
        <v>810</v>
      </c>
      <c r="C535" t="s">
        <v>731</v>
      </c>
      <c r="D535">
        <v>9821</v>
      </c>
      <c r="E535" t="s">
        <v>21</v>
      </c>
      <c r="F535" t="s">
        <v>22</v>
      </c>
      <c r="G535" t="s">
        <v>23</v>
      </c>
      <c r="H535" t="s">
        <v>24</v>
      </c>
      <c r="I535" t="s">
        <v>25</v>
      </c>
      <c r="J535">
        <v>998</v>
      </c>
      <c r="K535" t="s">
        <v>26</v>
      </c>
      <c r="N535">
        <v>3</v>
      </c>
      <c r="O535">
        <v>0.45739999999999997</v>
      </c>
      <c r="P535" t="s">
        <v>38</v>
      </c>
      <c r="Q535">
        <v>1</v>
      </c>
      <c r="R535" t="s">
        <v>1272</v>
      </c>
      <c r="S535" s="1" t="s">
        <v>1335</v>
      </c>
    </row>
    <row r="536" spans="1:19" hidden="1" x14ac:dyDescent="0.3">
      <c r="A536" t="s">
        <v>809</v>
      </c>
      <c r="B536" t="s">
        <v>810</v>
      </c>
      <c r="C536" t="s">
        <v>731</v>
      </c>
      <c r="D536">
        <v>19317</v>
      </c>
      <c r="E536" t="s">
        <v>44</v>
      </c>
      <c r="F536" t="s">
        <v>45</v>
      </c>
      <c r="G536" t="s">
        <v>46</v>
      </c>
      <c r="H536" t="s">
        <v>47</v>
      </c>
      <c r="I536" t="s">
        <v>31</v>
      </c>
      <c r="J536">
        <v>4168</v>
      </c>
      <c r="K536" t="s">
        <v>48</v>
      </c>
      <c r="L536">
        <v>3</v>
      </c>
      <c r="M536">
        <v>7.1017000000000001</v>
      </c>
      <c r="P536" t="s">
        <v>33</v>
      </c>
      <c r="Q536">
        <v>2</v>
      </c>
      <c r="R536" t="s">
        <v>1272</v>
      </c>
      <c r="S536" s="1" t="s">
        <v>1280</v>
      </c>
    </row>
    <row r="537" spans="1:19" hidden="1" x14ac:dyDescent="0.3">
      <c r="A537" t="s">
        <v>809</v>
      </c>
      <c r="B537" t="s">
        <v>810</v>
      </c>
      <c r="C537" t="s">
        <v>731</v>
      </c>
      <c r="D537">
        <v>14198</v>
      </c>
      <c r="E537" t="s">
        <v>73</v>
      </c>
      <c r="F537" t="s">
        <v>74</v>
      </c>
      <c r="G537" t="s">
        <v>75</v>
      </c>
      <c r="H537" t="s">
        <v>76</v>
      </c>
      <c r="I537" t="s">
        <v>31</v>
      </c>
      <c r="J537">
        <v>377</v>
      </c>
      <c r="K537" t="s">
        <v>77</v>
      </c>
      <c r="L537">
        <v>4</v>
      </c>
      <c r="M537">
        <v>6.8945999999999996</v>
      </c>
      <c r="P537" t="s">
        <v>33</v>
      </c>
      <c r="Q537">
        <v>1</v>
      </c>
      <c r="R537" t="s">
        <v>1272</v>
      </c>
      <c r="S537" s="1" t="s">
        <v>1335</v>
      </c>
    </row>
    <row r="538" spans="1:19" hidden="1" x14ac:dyDescent="0.3">
      <c r="A538" t="s">
        <v>809</v>
      </c>
      <c r="B538" t="s">
        <v>810</v>
      </c>
      <c r="C538" t="s">
        <v>731</v>
      </c>
      <c r="D538">
        <v>19992</v>
      </c>
      <c r="E538" t="s">
        <v>408</v>
      </c>
      <c r="F538" t="s">
        <v>22</v>
      </c>
      <c r="G538" t="s">
        <v>409</v>
      </c>
      <c r="H538" t="s">
        <v>410</v>
      </c>
      <c r="I538" t="s">
        <v>31</v>
      </c>
      <c r="J538">
        <v>553</v>
      </c>
      <c r="K538" t="s">
        <v>411</v>
      </c>
      <c r="L538">
        <v>10</v>
      </c>
      <c r="M538">
        <v>5.0796000000000001</v>
      </c>
      <c r="N538">
        <v>4</v>
      </c>
      <c r="O538">
        <v>0.44950000000000001</v>
      </c>
      <c r="P538" t="s">
        <v>27</v>
      </c>
      <c r="Q538">
        <v>2</v>
      </c>
      <c r="R538" t="s">
        <v>1272</v>
      </c>
      <c r="S538" s="1" t="s">
        <v>1280</v>
      </c>
    </row>
    <row r="539" spans="1:19" hidden="1" x14ac:dyDescent="0.3">
      <c r="A539" t="s">
        <v>809</v>
      </c>
      <c r="B539" t="s">
        <v>810</v>
      </c>
      <c r="C539" t="s">
        <v>731</v>
      </c>
      <c r="D539">
        <v>18885</v>
      </c>
      <c r="E539" t="s">
        <v>86</v>
      </c>
      <c r="F539" t="s">
        <v>60</v>
      </c>
      <c r="G539" t="s">
        <v>87</v>
      </c>
      <c r="H539" t="s">
        <v>88</v>
      </c>
      <c r="I539" t="s">
        <v>31</v>
      </c>
      <c r="J539">
        <v>596</v>
      </c>
      <c r="K539" t="s">
        <v>89</v>
      </c>
      <c r="N539">
        <v>5</v>
      </c>
      <c r="O539">
        <v>0.43709999999999999</v>
      </c>
      <c r="P539" t="s">
        <v>38</v>
      </c>
      <c r="Q539">
        <v>1</v>
      </c>
      <c r="R539" t="s">
        <v>1272</v>
      </c>
      <c r="S539" s="1" t="s">
        <v>1335</v>
      </c>
    </row>
    <row r="540" spans="1:19" hidden="1" x14ac:dyDescent="0.3">
      <c r="A540" t="s">
        <v>809</v>
      </c>
      <c r="B540" t="s">
        <v>810</v>
      </c>
      <c r="C540" t="s">
        <v>731</v>
      </c>
      <c r="D540">
        <v>18937</v>
      </c>
      <c r="E540" t="s">
        <v>68</v>
      </c>
      <c r="F540" t="s">
        <v>69</v>
      </c>
      <c r="G540" t="s">
        <v>70</v>
      </c>
      <c r="H540" t="s">
        <v>71</v>
      </c>
      <c r="I540" t="s">
        <v>31</v>
      </c>
      <c r="J540">
        <v>3317</v>
      </c>
      <c r="K540" t="s">
        <v>72</v>
      </c>
      <c r="L540">
        <v>5</v>
      </c>
      <c r="M540">
        <v>6.4828999999999999</v>
      </c>
      <c r="P540" t="s">
        <v>33</v>
      </c>
      <c r="Q540">
        <v>2</v>
      </c>
      <c r="R540" t="s">
        <v>1272</v>
      </c>
      <c r="S540" s="1" t="s">
        <v>1280</v>
      </c>
    </row>
    <row r="541" spans="1:19" hidden="1" x14ac:dyDescent="0.3">
      <c r="A541" t="s">
        <v>809</v>
      </c>
      <c r="B541" t="s">
        <v>810</v>
      </c>
      <c r="C541" t="s">
        <v>731</v>
      </c>
      <c r="D541">
        <v>10730</v>
      </c>
      <c r="E541" t="s">
        <v>317</v>
      </c>
      <c r="F541" t="s">
        <v>60</v>
      </c>
      <c r="G541" t="s">
        <v>318</v>
      </c>
      <c r="H541" t="s">
        <v>319</v>
      </c>
      <c r="I541" t="s">
        <v>25</v>
      </c>
      <c r="J541">
        <v>800</v>
      </c>
      <c r="K541" t="s">
        <v>320</v>
      </c>
      <c r="L541">
        <v>6</v>
      </c>
      <c r="M541">
        <v>6.2336</v>
      </c>
      <c r="P541" t="s">
        <v>33</v>
      </c>
      <c r="Q541">
        <v>1</v>
      </c>
      <c r="R541" t="s">
        <v>1272</v>
      </c>
      <c r="S541" s="1" t="s">
        <v>1335</v>
      </c>
    </row>
    <row r="542" spans="1:19" hidden="1" x14ac:dyDescent="0.3">
      <c r="A542" t="s">
        <v>809</v>
      </c>
      <c r="B542" t="s">
        <v>810</v>
      </c>
      <c r="C542" t="s">
        <v>731</v>
      </c>
      <c r="D542">
        <v>14222</v>
      </c>
      <c r="E542" t="s">
        <v>749</v>
      </c>
      <c r="F542" t="s">
        <v>60</v>
      </c>
      <c r="G542" t="s">
        <v>696</v>
      </c>
      <c r="H542" t="s">
        <v>750</v>
      </c>
      <c r="I542" t="s">
        <v>25</v>
      </c>
      <c r="J542">
        <v>835</v>
      </c>
      <c r="K542" t="s">
        <v>751</v>
      </c>
      <c r="N542">
        <v>6</v>
      </c>
      <c r="O542">
        <v>0.435</v>
      </c>
      <c r="P542" t="s">
        <v>38</v>
      </c>
      <c r="Q542">
        <v>1</v>
      </c>
      <c r="R542" t="s">
        <v>1272</v>
      </c>
      <c r="S542" s="1" t="s">
        <v>1335</v>
      </c>
    </row>
    <row r="543" spans="1:19" hidden="1" x14ac:dyDescent="0.3">
      <c r="A543" t="s">
        <v>809</v>
      </c>
      <c r="B543" t="s">
        <v>810</v>
      </c>
      <c r="C543" t="s">
        <v>731</v>
      </c>
      <c r="D543">
        <v>15013</v>
      </c>
      <c r="E543" t="s">
        <v>59</v>
      </c>
      <c r="F543" t="s">
        <v>60</v>
      </c>
      <c r="G543" t="s">
        <v>61</v>
      </c>
      <c r="H543" t="s">
        <v>62</v>
      </c>
      <c r="I543" t="s">
        <v>25</v>
      </c>
      <c r="J543">
        <v>550</v>
      </c>
      <c r="K543" t="s">
        <v>63</v>
      </c>
      <c r="N543">
        <v>7</v>
      </c>
      <c r="O543">
        <v>0.43459999999999999</v>
      </c>
      <c r="P543" t="s">
        <v>38</v>
      </c>
      <c r="Q543">
        <v>1</v>
      </c>
      <c r="R543" t="s">
        <v>1272</v>
      </c>
      <c r="S543" s="1" t="s">
        <v>1335</v>
      </c>
    </row>
    <row r="544" spans="1:19" hidden="1" x14ac:dyDescent="0.3">
      <c r="A544" t="s">
        <v>809</v>
      </c>
      <c r="B544" t="s">
        <v>810</v>
      </c>
      <c r="C544" t="s">
        <v>731</v>
      </c>
      <c r="D544">
        <v>20359</v>
      </c>
      <c r="E544" t="s">
        <v>376</v>
      </c>
      <c r="F544" t="s">
        <v>377</v>
      </c>
      <c r="G544" t="s">
        <v>378</v>
      </c>
      <c r="H544" t="s">
        <v>379</v>
      </c>
      <c r="I544" t="s">
        <v>25</v>
      </c>
      <c r="J544">
        <v>452</v>
      </c>
      <c r="K544" t="s">
        <v>380</v>
      </c>
      <c r="L544">
        <v>7</v>
      </c>
      <c r="M544">
        <v>5.4919000000000002</v>
      </c>
      <c r="P544" t="s">
        <v>33</v>
      </c>
      <c r="Q544">
        <v>2</v>
      </c>
      <c r="R544" t="s">
        <v>1272</v>
      </c>
      <c r="S544" s="1" t="s">
        <v>1280</v>
      </c>
    </row>
    <row r="545" spans="1:19" hidden="1" x14ac:dyDescent="0.3">
      <c r="A545" t="s">
        <v>809</v>
      </c>
      <c r="B545" t="s">
        <v>810</v>
      </c>
      <c r="C545" t="s">
        <v>731</v>
      </c>
      <c r="D545">
        <v>15839</v>
      </c>
      <c r="E545" t="s">
        <v>154</v>
      </c>
      <c r="F545" t="s">
        <v>155</v>
      </c>
      <c r="G545" t="s">
        <v>156</v>
      </c>
      <c r="H545" t="s">
        <v>157</v>
      </c>
      <c r="I545" t="s">
        <v>25</v>
      </c>
      <c r="J545">
        <v>298</v>
      </c>
      <c r="K545" t="s">
        <v>158</v>
      </c>
      <c r="L545">
        <v>8</v>
      </c>
      <c r="M545">
        <v>5.4630999999999998</v>
      </c>
      <c r="P545" t="s">
        <v>33</v>
      </c>
      <c r="Q545">
        <v>0</v>
      </c>
      <c r="R545" t="s">
        <v>1272</v>
      </c>
      <c r="S545" t="s">
        <v>1275</v>
      </c>
    </row>
    <row r="546" spans="1:19" hidden="1" x14ac:dyDescent="0.3">
      <c r="A546" t="s">
        <v>809</v>
      </c>
      <c r="B546" t="s">
        <v>810</v>
      </c>
      <c r="C546" t="s">
        <v>731</v>
      </c>
      <c r="D546">
        <v>19395</v>
      </c>
      <c r="E546" t="s">
        <v>609</v>
      </c>
      <c r="F546" t="s">
        <v>22</v>
      </c>
      <c r="G546" t="s">
        <v>610</v>
      </c>
      <c r="H546" t="s">
        <v>611</v>
      </c>
      <c r="I546" t="s">
        <v>31</v>
      </c>
      <c r="J546">
        <v>560</v>
      </c>
      <c r="K546" t="s">
        <v>612</v>
      </c>
      <c r="N546">
        <v>8</v>
      </c>
      <c r="O546">
        <v>0.43009999999999998</v>
      </c>
      <c r="P546" t="s">
        <v>38</v>
      </c>
      <c r="Q546">
        <v>2</v>
      </c>
      <c r="R546" t="s">
        <v>1272</v>
      </c>
      <c r="S546" s="1" t="s">
        <v>1280</v>
      </c>
    </row>
    <row r="547" spans="1:19" hidden="1" x14ac:dyDescent="0.3">
      <c r="A547" t="s">
        <v>809</v>
      </c>
      <c r="B547" t="s">
        <v>810</v>
      </c>
      <c r="C547" t="s">
        <v>731</v>
      </c>
      <c r="D547">
        <v>13514</v>
      </c>
      <c r="E547" t="s">
        <v>64</v>
      </c>
      <c r="F547" t="s">
        <v>60</v>
      </c>
      <c r="G547" t="s">
        <v>65</v>
      </c>
      <c r="H547" t="s">
        <v>66</v>
      </c>
      <c r="I547" t="s">
        <v>31</v>
      </c>
      <c r="J547">
        <v>587</v>
      </c>
      <c r="K547" t="s">
        <v>67</v>
      </c>
      <c r="N547">
        <v>9</v>
      </c>
      <c r="O547">
        <v>0.42909999999999998</v>
      </c>
      <c r="P547" t="s">
        <v>38</v>
      </c>
      <c r="Q547">
        <v>1</v>
      </c>
      <c r="R547" t="s">
        <v>1272</v>
      </c>
      <c r="S547" s="1" t="s">
        <v>1335</v>
      </c>
    </row>
    <row r="548" spans="1:19" hidden="1" x14ac:dyDescent="0.3">
      <c r="A548" t="s">
        <v>809</v>
      </c>
      <c r="B548" t="s">
        <v>810</v>
      </c>
      <c r="C548" t="s">
        <v>731</v>
      </c>
      <c r="D548">
        <v>13606</v>
      </c>
      <c r="E548" t="s">
        <v>540</v>
      </c>
      <c r="F548" t="s">
        <v>22</v>
      </c>
      <c r="G548" t="s">
        <v>541</v>
      </c>
      <c r="H548" t="s">
        <v>542</v>
      </c>
      <c r="I548" t="s">
        <v>31</v>
      </c>
      <c r="J548">
        <v>1061</v>
      </c>
      <c r="K548" t="s">
        <v>543</v>
      </c>
      <c r="L548">
        <v>9</v>
      </c>
      <c r="M548">
        <v>5.1026999999999996</v>
      </c>
      <c r="P548" t="s">
        <v>33</v>
      </c>
      <c r="Q548">
        <v>2</v>
      </c>
      <c r="R548" t="s">
        <v>1272</v>
      </c>
      <c r="S548" s="1" t="s">
        <v>1280</v>
      </c>
    </row>
    <row r="549" spans="1:19" hidden="1" x14ac:dyDescent="0.3">
      <c r="A549" t="s">
        <v>809</v>
      </c>
      <c r="B549" t="s">
        <v>810</v>
      </c>
      <c r="C549" t="s">
        <v>731</v>
      </c>
      <c r="D549">
        <v>19064</v>
      </c>
      <c r="E549" t="s">
        <v>551</v>
      </c>
      <c r="F549" t="s">
        <v>552</v>
      </c>
      <c r="G549" t="s">
        <v>405</v>
      </c>
      <c r="H549" t="s">
        <v>553</v>
      </c>
      <c r="I549" t="s">
        <v>31</v>
      </c>
      <c r="J549">
        <v>1167</v>
      </c>
      <c r="K549" t="s">
        <v>554</v>
      </c>
      <c r="N549">
        <v>10</v>
      </c>
      <c r="O549">
        <v>0.42859999999999998</v>
      </c>
      <c r="P549" t="s">
        <v>38</v>
      </c>
      <c r="Q549">
        <v>1</v>
      </c>
      <c r="R549" t="s">
        <v>1272</v>
      </c>
      <c r="S549" s="1" t="s">
        <v>1335</v>
      </c>
    </row>
    <row r="550" spans="1:19" hidden="1" x14ac:dyDescent="0.3">
      <c r="A550" t="s">
        <v>811</v>
      </c>
      <c r="B550" t="s">
        <v>812</v>
      </c>
      <c r="C550" t="s">
        <v>731</v>
      </c>
      <c r="D550">
        <v>15093</v>
      </c>
      <c r="E550" t="s">
        <v>452</v>
      </c>
      <c r="F550" t="s">
        <v>60</v>
      </c>
      <c r="G550" t="s">
        <v>453</v>
      </c>
      <c r="H550" t="s">
        <v>454</v>
      </c>
      <c r="I550" t="s">
        <v>31</v>
      </c>
      <c r="J550">
        <v>892</v>
      </c>
      <c r="K550" t="s">
        <v>455</v>
      </c>
      <c r="L550">
        <v>7</v>
      </c>
      <c r="M550">
        <v>10.354200000000001</v>
      </c>
      <c r="N550">
        <v>1</v>
      </c>
      <c r="O550">
        <v>0.44440000000000002</v>
      </c>
      <c r="P550" t="s">
        <v>27</v>
      </c>
      <c r="Q550">
        <v>2</v>
      </c>
      <c r="R550" t="s">
        <v>1272</v>
      </c>
      <c r="S550" s="1" t="s">
        <v>1280</v>
      </c>
    </row>
    <row r="551" spans="1:19" hidden="1" x14ac:dyDescent="0.3">
      <c r="A551" t="s">
        <v>811</v>
      </c>
      <c r="B551" t="s">
        <v>812</v>
      </c>
      <c r="C551" t="s">
        <v>731</v>
      </c>
      <c r="D551">
        <v>19395</v>
      </c>
      <c r="E551" t="s">
        <v>609</v>
      </c>
      <c r="F551" t="s">
        <v>22</v>
      </c>
      <c r="G551" t="s">
        <v>610</v>
      </c>
      <c r="H551" t="s">
        <v>611</v>
      </c>
      <c r="I551" t="s">
        <v>31</v>
      </c>
      <c r="J551">
        <v>560</v>
      </c>
      <c r="K551" t="s">
        <v>612</v>
      </c>
      <c r="L551">
        <v>1</v>
      </c>
      <c r="M551">
        <v>11.6911</v>
      </c>
      <c r="P551" t="s">
        <v>33</v>
      </c>
      <c r="Q551">
        <v>2</v>
      </c>
      <c r="R551" t="s">
        <v>1272</v>
      </c>
      <c r="S551" s="1" t="s">
        <v>1280</v>
      </c>
    </row>
    <row r="552" spans="1:19" hidden="1" x14ac:dyDescent="0.3">
      <c r="A552" t="s">
        <v>811</v>
      </c>
      <c r="B552" t="s">
        <v>812</v>
      </c>
      <c r="C552" t="s">
        <v>731</v>
      </c>
      <c r="D552">
        <v>447</v>
      </c>
      <c r="E552" t="s">
        <v>813</v>
      </c>
      <c r="F552" t="s">
        <v>22</v>
      </c>
      <c r="G552" t="s">
        <v>814</v>
      </c>
      <c r="H552" t="s">
        <v>815</v>
      </c>
      <c r="I552" t="s">
        <v>25</v>
      </c>
      <c r="J552">
        <v>806</v>
      </c>
      <c r="K552" t="s">
        <v>816</v>
      </c>
      <c r="L552">
        <v>2</v>
      </c>
      <c r="M552">
        <v>11.3453</v>
      </c>
      <c r="P552" t="s">
        <v>33</v>
      </c>
      <c r="Q552">
        <v>2</v>
      </c>
      <c r="R552" t="s">
        <v>1272</v>
      </c>
      <c r="S552" s="1" t="s">
        <v>1280</v>
      </c>
    </row>
    <row r="553" spans="1:19" hidden="1" x14ac:dyDescent="0.3">
      <c r="A553" t="s">
        <v>811</v>
      </c>
      <c r="B553" t="s">
        <v>812</v>
      </c>
      <c r="C553" t="s">
        <v>731</v>
      </c>
      <c r="D553">
        <v>13514</v>
      </c>
      <c r="E553" t="s">
        <v>64</v>
      </c>
      <c r="F553" t="s">
        <v>60</v>
      </c>
      <c r="G553" t="s">
        <v>65</v>
      </c>
      <c r="H553" t="s">
        <v>66</v>
      </c>
      <c r="I553" t="s">
        <v>31</v>
      </c>
      <c r="J553">
        <v>587</v>
      </c>
      <c r="K553" t="s">
        <v>67</v>
      </c>
      <c r="L553">
        <v>8</v>
      </c>
      <c r="M553">
        <v>10.2742</v>
      </c>
      <c r="N553">
        <v>2</v>
      </c>
      <c r="O553">
        <v>0.42920000000000003</v>
      </c>
      <c r="P553" t="s">
        <v>27</v>
      </c>
      <c r="Q553">
        <v>2</v>
      </c>
      <c r="R553" t="s">
        <v>1272</v>
      </c>
      <c r="S553" s="1" t="s">
        <v>1280</v>
      </c>
    </row>
    <row r="554" spans="1:19" hidden="1" x14ac:dyDescent="0.3">
      <c r="A554" t="s">
        <v>811</v>
      </c>
      <c r="B554" t="s">
        <v>812</v>
      </c>
      <c r="C554" t="s">
        <v>731</v>
      </c>
      <c r="D554">
        <v>10433</v>
      </c>
      <c r="E554" t="s">
        <v>424</v>
      </c>
      <c r="F554" t="s">
        <v>425</v>
      </c>
      <c r="G554" t="s">
        <v>426</v>
      </c>
      <c r="H554" t="s">
        <v>427</v>
      </c>
      <c r="I554" t="s">
        <v>25</v>
      </c>
      <c r="J554">
        <v>1153</v>
      </c>
      <c r="K554" t="s">
        <v>428</v>
      </c>
      <c r="L554">
        <v>3</v>
      </c>
      <c r="M554">
        <v>10.623799999999999</v>
      </c>
      <c r="P554" t="s">
        <v>33</v>
      </c>
      <c r="Q554">
        <v>2</v>
      </c>
      <c r="R554" t="s">
        <v>1272</v>
      </c>
      <c r="S554" s="1" t="s">
        <v>1280</v>
      </c>
    </row>
    <row r="555" spans="1:19" hidden="1" x14ac:dyDescent="0.3">
      <c r="A555" t="s">
        <v>811</v>
      </c>
      <c r="B555" t="s">
        <v>812</v>
      </c>
      <c r="C555" t="s">
        <v>731</v>
      </c>
      <c r="D555">
        <v>13674</v>
      </c>
      <c r="E555" t="s">
        <v>78</v>
      </c>
      <c r="F555" t="s">
        <v>22</v>
      </c>
      <c r="G555" t="s">
        <v>79</v>
      </c>
      <c r="H555" t="s">
        <v>80</v>
      </c>
      <c r="I555" t="s">
        <v>31</v>
      </c>
      <c r="J555">
        <v>1127</v>
      </c>
      <c r="K555" t="s">
        <v>81</v>
      </c>
      <c r="L555">
        <v>5</v>
      </c>
      <c r="M555">
        <v>10.3988</v>
      </c>
      <c r="N555">
        <v>3</v>
      </c>
      <c r="O555">
        <v>0.42630000000000001</v>
      </c>
      <c r="P555" t="s">
        <v>27</v>
      </c>
      <c r="Q555">
        <v>2</v>
      </c>
      <c r="R555" t="s">
        <v>1272</v>
      </c>
      <c r="S555" s="1" t="s">
        <v>1280</v>
      </c>
    </row>
    <row r="556" spans="1:19" hidden="1" x14ac:dyDescent="0.3">
      <c r="A556" t="s">
        <v>811</v>
      </c>
      <c r="B556" t="s">
        <v>812</v>
      </c>
      <c r="C556" t="s">
        <v>731</v>
      </c>
      <c r="D556">
        <v>18885</v>
      </c>
      <c r="E556" t="s">
        <v>86</v>
      </c>
      <c r="F556" t="s">
        <v>60</v>
      </c>
      <c r="G556" t="s">
        <v>87</v>
      </c>
      <c r="H556" t="s">
        <v>88</v>
      </c>
      <c r="I556" t="s">
        <v>31</v>
      </c>
      <c r="J556">
        <v>596</v>
      </c>
      <c r="K556" t="s">
        <v>89</v>
      </c>
      <c r="N556">
        <v>4</v>
      </c>
      <c r="O556">
        <v>0.4199</v>
      </c>
      <c r="P556" t="s">
        <v>38</v>
      </c>
      <c r="Q556">
        <v>0</v>
      </c>
      <c r="R556" t="s">
        <v>1272</v>
      </c>
      <c r="S556" t="s">
        <v>1275</v>
      </c>
    </row>
    <row r="557" spans="1:19" hidden="1" x14ac:dyDescent="0.3">
      <c r="A557" t="s">
        <v>811</v>
      </c>
      <c r="B557" t="s">
        <v>812</v>
      </c>
      <c r="C557" t="s">
        <v>731</v>
      </c>
      <c r="D557">
        <v>20353</v>
      </c>
      <c r="E557" t="s">
        <v>164</v>
      </c>
      <c r="F557" t="s">
        <v>165</v>
      </c>
      <c r="G557" t="s">
        <v>41</v>
      </c>
      <c r="H557" t="s">
        <v>166</v>
      </c>
      <c r="I557" t="s">
        <v>31</v>
      </c>
      <c r="J557">
        <v>899</v>
      </c>
      <c r="K557" t="s">
        <v>167</v>
      </c>
      <c r="L557">
        <v>4</v>
      </c>
      <c r="M557">
        <v>10.5372</v>
      </c>
      <c r="N557">
        <v>6</v>
      </c>
      <c r="O557">
        <v>0.4173</v>
      </c>
      <c r="P557" t="s">
        <v>27</v>
      </c>
      <c r="Q557">
        <v>1</v>
      </c>
      <c r="R557" t="s">
        <v>1272</v>
      </c>
      <c r="S557" s="1" t="s">
        <v>1335</v>
      </c>
    </row>
    <row r="558" spans="1:19" hidden="1" x14ac:dyDescent="0.3">
      <c r="A558" t="s">
        <v>811</v>
      </c>
      <c r="B558" t="s">
        <v>812</v>
      </c>
      <c r="C558" t="s">
        <v>731</v>
      </c>
      <c r="D558">
        <v>13183</v>
      </c>
      <c r="E558" t="s">
        <v>777</v>
      </c>
      <c r="F558" t="s">
        <v>60</v>
      </c>
      <c r="G558" t="s">
        <v>778</v>
      </c>
      <c r="H558" t="s">
        <v>779</v>
      </c>
      <c r="I558" t="s">
        <v>31</v>
      </c>
      <c r="J558">
        <v>1373</v>
      </c>
      <c r="K558" t="s">
        <v>780</v>
      </c>
      <c r="L558">
        <v>6</v>
      </c>
      <c r="M558">
        <v>10.363200000000001</v>
      </c>
      <c r="N558">
        <v>5</v>
      </c>
      <c r="O558">
        <v>0.41789999999999999</v>
      </c>
      <c r="P558" t="s">
        <v>27</v>
      </c>
      <c r="Q558">
        <v>2</v>
      </c>
      <c r="R558" t="s">
        <v>1272</v>
      </c>
      <c r="S558" s="1" t="s">
        <v>1280</v>
      </c>
    </row>
    <row r="559" spans="1:19" hidden="1" x14ac:dyDescent="0.3">
      <c r="A559" t="s">
        <v>811</v>
      </c>
      <c r="B559" t="s">
        <v>812</v>
      </c>
      <c r="C559" t="s">
        <v>731</v>
      </c>
      <c r="D559">
        <v>10623</v>
      </c>
      <c r="E559" t="s">
        <v>817</v>
      </c>
      <c r="F559" t="s">
        <v>74</v>
      </c>
      <c r="G559" t="s">
        <v>818</v>
      </c>
      <c r="H559" t="s">
        <v>819</v>
      </c>
      <c r="I559" t="s">
        <v>25</v>
      </c>
      <c r="J559">
        <v>578</v>
      </c>
      <c r="K559" t="s">
        <v>820</v>
      </c>
      <c r="N559">
        <v>7</v>
      </c>
      <c r="O559">
        <v>0.41199999999999998</v>
      </c>
      <c r="P559" t="s">
        <v>38</v>
      </c>
      <c r="Q559">
        <v>1</v>
      </c>
      <c r="R559" t="s">
        <v>1272</v>
      </c>
      <c r="S559" s="1" t="s">
        <v>1335</v>
      </c>
    </row>
    <row r="560" spans="1:19" hidden="1" x14ac:dyDescent="0.3">
      <c r="A560" t="s">
        <v>811</v>
      </c>
      <c r="B560" t="s">
        <v>812</v>
      </c>
      <c r="C560" t="s">
        <v>731</v>
      </c>
      <c r="D560">
        <v>14222</v>
      </c>
      <c r="E560" t="s">
        <v>749</v>
      </c>
      <c r="F560" t="s">
        <v>60</v>
      </c>
      <c r="G560" t="s">
        <v>696</v>
      </c>
      <c r="H560" t="s">
        <v>750</v>
      </c>
      <c r="I560" t="s">
        <v>25</v>
      </c>
      <c r="J560">
        <v>835</v>
      </c>
      <c r="K560" t="s">
        <v>751</v>
      </c>
      <c r="L560">
        <v>10</v>
      </c>
      <c r="M560">
        <v>10.0388</v>
      </c>
      <c r="N560">
        <v>8</v>
      </c>
      <c r="O560">
        <v>0.41039999999999999</v>
      </c>
      <c r="P560" t="s">
        <v>27</v>
      </c>
      <c r="Q560">
        <v>2</v>
      </c>
      <c r="R560" t="s">
        <v>1272</v>
      </c>
      <c r="S560" s="1" t="s">
        <v>1280</v>
      </c>
    </row>
    <row r="561" spans="1:19" hidden="1" x14ac:dyDescent="0.3">
      <c r="A561" t="s">
        <v>811</v>
      </c>
      <c r="B561" t="s">
        <v>812</v>
      </c>
      <c r="C561" t="s">
        <v>731</v>
      </c>
      <c r="D561">
        <v>17419</v>
      </c>
      <c r="E561" t="s">
        <v>821</v>
      </c>
      <c r="F561" t="s">
        <v>22</v>
      </c>
      <c r="G561" t="s">
        <v>822</v>
      </c>
      <c r="H561" t="s">
        <v>823</v>
      </c>
      <c r="I561" t="s">
        <v>31</v>
      </c>
      <c r="J561">
        <v>1103</v>
      </c>
      <c r="K561" t="s">
        <v>824</v>
      </c>
      <c r="L561">
        <v>9</v>
      </c>
      <c r="M561">
        <v>10.2409</v>
      </c>
      <c r="N561">
        <v>9</v>
      </c>
      <c r="O561">
        <v>0.40889999999999999</v>
      </c>
      <c r="P561" t="s">
        <v>27</v>
      </c>
      <c r="Q561">
        <v>2</v>
      </c>
      <c r="R561" t="s">
        <v>1272</v>
      </c>
      <c r="S561" s="1" t="s">
        <v>1280</v>
      </c>
    </row>
    <row r="562" spans="1:19" hidden="1" x14ac:dyDescent="0.3">
      <c r="A562" t="s">
        <v>811</v>
      </c>
      <c r="B562" t="s">
        <v>812</v>
      </c>
      <c r="C562" t="s">
        <v>731</v>
      </c>
      <c r="D562">
        <v>17762</v>
      </c>
      <c r="E562" t="s">
        <v>441</v>
      </c>
      <c r="F562" t="s">
        <v>425</v>
      </c>
      <c r="G562" t="s">
        <v>442</v>
      </c>
      <c r="H562" t="s">
        <v>443</v>
      </c>
      <c r="I562" t="s">
        <v>31</v>
      </c>
      <c r="J562">
        <v>1580</v>
      </c>
      <c r="K562" t="s">
        <v>444</v>
      </c>
      <c r="N562">
        <v>10</v>
      </c>
      <c r="O562">
        <v>0.40539999999999998</v>
      </c>
      <c r="P562" t="s">
        <v>38</v>
      </c>
      <c r="Q562">
        <v>1</v>
      </c>
      <c r="R562" t="s">
        <v>1272</v>
      </c>
      <c r="S562" s="1" t="s">
        <v>1335</v>
      </c>
    </row>
    <row r="563" spans="1:19" hidden="1" x14ac:dyDescent="0.3">
      <c r="A563" t="s">
        <v>825</v>
      </c>
      <c r="B563" t="s">
        <v>826</v>
      </c>
      <c r="C563" t="s">
        <v>731</v>
      </c>
      <c r="D563">
        <v>16145</v>
      </c>
      <c r="E563" t="s">
        <v>182</v>
      </c>
      <c r="F563" t="s">
        <v>155</v>
      </c>
      <c r="G563" t="s">
        <v>183</v>
      </c>
      <c r="H563" t="s">
        <v>184</v>
      </c>
      <c r="I563" t="s">
        <v>31</v>
      </c>
      <c r="J563">
        <v>2447</v>
      </c>
      <c r="K563" t="s">
        <v>185</v>
      </c>
      <c r="L563">
        <v>1</v>
      </c>
      <c r="M563">
        <v>11.3834</v>
      </c>
      <c r="N563">
        <v>7</v>
      </c>
      <c r="O563">
        <v>0.42230000000000001</v>
      </c>
      <c r="P563" t="s">
        <v>27</v>
      </c>
      <c r="Q563">
        <v>1</v>
      </c>
      <c r="R563" t="s">
        <v>1272</v>
      </c>
      <c r="S563" s="1" t="s">
        <v>1338</v>
      </c>
    </row>
    <row r="564" spans="1:19" hidden="1" x14ac:dyDescent="0.3">
      <c r="A564" t="s">
        <v>825</v>
      </c>
      <c r="B564" t="s">
        <v>826</v>
      </c>
      <c r="C564" t="s">
        <v>731</v>
      </c>
      <c r="D564">
        <v>16290</v>
      </c>
      <c r="E564" t="s">
        <v>799</v>
      </c>
      <c r="F564" t="s">
        <v>74</v>
      </c>
      <c r="G564" t="s">
        <v>800</v>
      </c>
      <c r="H564" t="s">
        <v>801</v>
      </c>
      <c r="I564" t="s">
        <v>25</v>
      </c>
      <c r="J564">
        <v>511</v>
      </c>
      <c r="K564" t="s">
        <v>802</v>
      </c>
      <c r="N564">
        <v>1</v>
      </c>
      <c r="O564">
        <v>0.45190000000000002</v>
      </c>
      <c r="P564" t="s">
        <v>38</v>
      </c>
      <c r="Q564">
        <v>1</v>
      </c>
      <c r="R564" t="s">
        <v>1272</v>
      </c>
      <c r="S564" s="1" t="s">
        <v>1338</v>
      </c>
    </row>
    <row r="565" spans="1:19" hidden="1" x14ac:dyDescent="0.3">
      <c r="A565" t="s">
        <v>825</v>
      </c>
      <c r="B565" t="s">
        <v>826</v>
      </c>
      <c r="C565" t="s">
        <v>731</v>
      </c>
      <c r="D565">
        <v>15905</v>
      </c>
      <c r="E565" t="s">
        <v>262</v>
      </c>
      <c r="F565" t="s">
        <v>60</v>
      </c>
      <c r="G565" t="s">
        <v>263</v>
      </c>
      <c r="H565" t="s">
        <v>264</v>
      </c>
      <c r="I565" t="s">
        <v>31</v>
      </c>
      <c r="J565">
        <v>772</v>
      </c>
      <c r="K565" t="s">
        <v>265</v>
      </c>
      <c r="L565">
        <v>2</v>
      </c>
      <c r="M565">
        <v>9.5381</v>
      </c>
      <c r="P565" t="s">
        <v>33</v>
      </c>
      <c r="Q565">
        <v>1</v>
      </c>
      <c r="R565" t="s">
        <v>1272</v>
      </c>
      <c r="S565" s="1" t="s">
        <v>1338</v>
      </c>
    </row>
    <row r="566" spans="1:19" hidden="1" x14ac:dyDescent="0.3">
      <c r="A566" t="s">
        <v>825</v>
      </c>
      <c r="B566" t="s">
        <v>826</v>
      </c>
      <c r="C566" t="s">
        <v>731</v>
      </c>
      <c r="D566">
        <v>19312</v>
      </c>
      <c r="E566" t="s">
        <v>321</v>
      </c>
      <c r="F566" t="s">
        <v>322</v>
      </c>
      <c r="G566" t="s">
        <v>323</v>
      </c>
      <c r="H566" t="s">
        <v>324</v>
      </c>
      <c r="I566" t="s">
        <v>31</v>
      </c>
      <c r="J566">
        <v>2453</v>
      </c>
      <c r="K566" t="s">
        <v>325</v>
      </c>
      <c r="L566">
        <v>5</v>
      </c>
      <c r="M566">
        <v>8.0650999999999993</v>
      </c>
      <c r="N566">
        <v>2</v>
      </c>
      <c r="O566">
        <v>0.4501</v>
      </c>
      <c r="P566" t="s">
        <v>27</v>
      </c>
      <c r="Q566">
        <v>2</v>
      </c>
      <c r="R566" t="s">
        <v>1272</v>
      </c>
      <c r="S566" s="1" t="s">
        <v>1280</v>
      </c>
    </row>
    <row r="567" spans="1:19" hidden="1" x14ac:dyDescent="0.3">
      <c r="A567" t="s">
        <v>825</v>
      </c>
      <c r="B567" t="s">
        <v>826</v>
      </c>
      <c r="C567" t="s">
        <v>731</v>
      </c>
      <c r="D567">
        <v>16211</v>
      </c>
      <c r="E567" t="s">
        <v>266</v>
      </c>
      <c r="F567" t="s">
        <v>74</v>
      </c>
      <c r="G567" t="s">
        <v>267</v>
      </c>
      <c r="H567" t="s">
        <v>268</v>
      </c>
      <c r="I567" t="s">
        <v>31</v>
      </c>
      <c r="J567">
        <v>1579</v>
      </c>
      <c r="K567" t="s">
        <v>269</v>
      </c>
      <c r="L567">
        <v>8</v>
      </c>
      <c r="M567">
        <v>7.9916999999999998</v>
      </c>
      <c r="N567">
        <v>3</v>
      </c>
      <c r="O567">
        <v>0.43859999999999999</v>
      </c>
      <c r="P567" t="s">
        <v>27</v>
      </c>
      <c r="Q567">
        <v>2</v>
      </c>
      <c r="R567" t="s">
        <v>1272</v>
      </c>
      <c r="S567" s="1" t="s">
        <v>1280</v>
      </c>
    </row>
    <row r="568" spans="1:19" hidden="1" x14ac:dyDescent="0.3">
      <c r="A568" t="s">
        <v>825</v>
      </c>
      <c r="B568" t="s">
        <v>826</v>
      </c>
      <c r="C568" t="s">
        <v>731</v>
      </c>
      <c r="D568">
        <v>17792</v>
      </c>
      <c r="E568" t="s">
        <v>229</v>
      </c>
      <c r="F568" t="s">
        <v>230</v>
      </c>
      <c r="G568" t="s">
        <v>231</v>
      </c>
      <c r="H568" t="s">
        <v>232</v>
      </c>
      <c r="I568" t="s">
        <v>31</v>
      </c>
      <c r="J568">
        <v>564</v>
      </c>
      <c r="K568" t="s">
        <v>233</v>
      </c>
      <c r="L568">
        <v>3</v>
      </c>
      <c r="M568">
        <v>8.8470999999999993</v>
      </c>
      <c r="P568" t="s">
        <v>33</v>
      </c>
      <c r="Q568">
        <v>1</v>
      </c>
      <c r="R568" t="s">
        <v>1272</v>
      </c>
      <c r="S568" s="1" t="s">
        <v>1338</v>
      </c>
    </row>
    <row r="569" spans="1:19" hidden="1" x14ac:dyDescent="0.3">
      <c r="A569" t="s">
        <v>825</v>
      </c>
      <c r="B569" t="s">
        <v>826</v>
      </c>
      <c r="C569" t="s">
        <v>731</v>
      </c>
      <c r="D569">
        <v>19735</v>
      </c>
      <c r="E569" t="s">
        <v>827</v>
      </c>
      <c r="F569" t="s">
        <v>828</v>
      </c>
      <c r="G569" t="s">
        <v>829</v>
      </c>
      <c r="H569" t="s">
        <v>830</v>
      </c>
      <c r="I569" t="s">
        <v>25</v>
      </c>
      <c r="J569">
        <v>559</v>
      </c>
      <c r="K569" t="s">
        <v>831</v>
      </c>
      <c r="L569">
        <v>4</v>
      </c>
      <c r="M569">
        <v>8.2401</v>
      </c>
      <c r="P569" t="s">
        <v>33</v>
      </c>
      <c r="Q569">
        <v>2</v>
      </c>
      <c r="R569" t="s">
        <v>1272</v>
      </c>
      <c r="S569" s="1" t="s">
        <v>1280</v>
      </c>
    </row>
    <row r="570" spans="1:19" hidden="1" x14ac:dyDescent="0.3">
      <c r="A570" t="s">
        <v>825</v>
      </c>
      <c r="B570" t="s">
        <v>826</v>
      </c>
      <c r="C570" t="s">
        <v>731</v>
      </c>
      <c r="D570">
        <v>20532</v>
      </c>
      <c r="E570" t="s">
        <v>221</v>
      </c>
      <c r="F570" t="s">
        <v>222</v>
      </c>
      <c r="G570" t="s">
        <v>41</v>
      </c>
      <c r="H570" t="s">
        <v>223</v>
      </c>
      <c r="I570" t="s">
        <v>25</v>
      </c>
      <c r="J570">
        <v>1105</v>
      </c>
      <c r="K570" t="s">
        <v>224</v>
      </c>
      <c r="N570">
        <v>4</v>
      </c>
      <c r="O570">
        <v>0.43319999999999997</v>
      </c>
      <c r="P570" t="s">
        <v>38</v>
      </c>
      <c r="Q570">
        <v>1</v>
      </c>
      <c r="R570" t="s">
        <v>1272</v>
      </c>
      <c r="S570" s="1" t="s">
        <v>1338</v>
      </c>
    </row>
    <row r="571" spans="1:19" hidden="1" x14ac:dyDescent="0.3">
      <c r="A571" t="s">
        <v>825</v>
      </c>
      <c r="B571" t="s">
        <v>826</v>
      </c>
      <c r="C571" t="s">
        <v>731</v>
      </c>
      <c r="D571">
        <v>13561</v>
      </c>
      <c r="E571" t="s">
        <v>832</v>
      </c>
      <c r="F571" t="s">
        <v>60</v>
      </c>
      <c r="G571" t="s">
        <v>833</v>
      </c>
      <c r="H571" t="s">
        <v>834</v>
      </c>
      <c r="I571" t="s">
        <v>31</v>
      </c>
      <c r="J571">
        <v>498</v>
      </c>
      <c r="K571" t="s">
        <v>835</v>
      </c>
      <c r="L571">
        <v>9</v>
      </c>
      <c r="M571">
        <v>7.7842000000000002</v>
      </c>
      <c r="N571">
        <v>5</v>
      </c>
      <c r="O571">
        <v>0.42599999999999999</v>
      </c>
      <c r="P571" t="s">
        <v>27</v>
      </c>
      <c r="Q571">
        <v>2</v>
      </c>
      <c r="R571" t="s">
        <v>1272</v>
      </c>
      <c r="S571" s="1" t="s">
        <v>1280</v>
      </c>
    </row>
    <row r="572" spans="1:19" hidden="1" x14ac:dyDescent="0.3">
      <c r="A572" t="s">
        <v>825</v>
      </c>
      <c r="B572" t="s">
        <v>826</v>
      </c>
      <c r="C572" t="s">
        <v>731</v>
      </c>
      <c r="D572">
        <v>13681</v>
      </c>
      <c r="E572" t="s">
        <v>112</v>
      </c>
      <c r="F572" t="s">
        <v>74</v>
      </c>
      <c r="G572" t="s">
        <v>113</v>
      </c>
      <c r="H572" t="s">
        <v>114</v>
      </c>
      <c r="I572" t="s">
        <v>31</v>
      </c>
      <c r="J572">
        <v>580</v>
      </c>
      <c r="K572" t="s">
        <v>115</v>
      </c>
      <c r="L572">
        <v>6</v>
      </c>
      <c r="M572">
        <v>8.0510000000000002</v>
      </c>
      <c r="P572" t="s">
        <v>33</v>
      </c>
      <c r="Q572">
        <v>1</v>
      </c>
      <c r="R572" t="s">
        <v>1272</v>
      </c>
      <c r="S572" s="1" t="s">
        <v>1338</v>
      </c>
    </row>
    <row r="573" spans="1:19" hidden="1" x14ac:dyDescent="0.3">
      <c r="A573" t="s">
        <v>825</v>
      </c>
      <c r="B573" t="s">
        <v>826</v>
      </c>
      <c r="C573" t="s">
        <v>731</v>
      </c>
      <c r="D573">
        <v>19613</v>
      </c>
      <c r="E573" t="s">
        <v>836</v>
      </c>
      <c r="F573" t="s">
        <v>837</v>
      </c>
      <c r="G573" t="s">
        <v>838</v>
      </c>
      <c r="H573" t="s">
        <v>839</v>
      </c>
      <c r="I573" t="s">
        <v>31</v>
      </c>
      <c r="J573">
        <v>265</v>
      </c>
      <c r="K573" t="s">
        <v>840</v>
      </c>
      <c r="N573">
        <v>6</v>
      </c>
      <c r="O573">
        <v>0.4224</v>
      </c>
      <c r="P573" t="s">
        <v>38</v>
      </c>
      <c r="Q573">
        <v>2</v>
      </c>
      <c r="R573" t="s">
        <v>1272</v>
      </c>
      <c r="S573" s="1" t="s">
        <v>1280</v>
      </c>
    </row>
    <row r="574" spans="1:19" hidden="1" x14ac:dyDescent="0.3">
      <c r="A574" t="s">
        <v>825</v>
      </c>
      <c r="B574" t="s">
        <v>826</v>
      </c>
      <c r="C574" t="s">
        <v>731</v>
      </c>
      <c r="D574">
        <v>19982</v>
      </c>
      <c r="E574" t="s">
        <v>28</v>
      </c>
      <c r="F574" t="s">
        <v>22</v>
      </c>
      <c r="G574" t="s">
        <v>29</v>
      </c>
      <c r="H574" t="s">
        <v>30</v>
      </c>
      <c r="I574" t="s">
        <v>31</v>
      </c>
      <c r="J574">
        <v>543</v>
      </c>
      <c r="K574" t="s">
        <v>32</v>
      </c>
      <c r="L574">
        <v>7</v>
      </c>
      <c r="M574">
        <v>8.0325000000000006</v>
      </c>
      <c r="P574" t="s">
        <v>33</v>
      </c>
      <c r="Q574">
        <v>2</v>
      </c>
      <c r="R574" t="s">
        <v>1272</v>
      </c>
      <c r="S574" s="1" t="s">
        <v>1280</v>
      </c>
    </row>
    <row r="575" spans="1:19" hidden="1" x14ac:dyDescent="0.3">
      <c r="A575" t="s">
        <v>825</v>
      </c>
      <c r="B575" t="s">
        <v>826</v>
      </c>
      <c r="C575" t="s">
        <v>731</v>
      </c>
      <c r="D575">
        <v>17533</v>
      </c>
      <c r="E575" t="s">
        <v>746</v>
      </c>
      <c r="F575" t="s">
        <v>60</v>
      </c>
      <c r="G575" t="s">
        <v>719</v>
      </c>
      <c r="H575" t="s">
        <v>747</v>
      </c>
      <c r="I575" t="s">
        <v>25</v>
      </c>
      <c r="J575">
        <v>907</v>
      </c>
      <c r="K575" t="s">
        <v>748</v>
      </c>
      <c r="N575">
        <v>8</v>
      </c>
      <c r="O575">
        <v>0.42120000000000002</v>
      </c>
      <c r="P575" t="s">
        <v>38</v>
      </c>
      <c r="Q575">
        <v>2</v>
      </c>
      <c r="R575" t="s">
        <v>1272</v>
      </c>
      <c r="S575" s="1" t="s">
        <v>1280</v>
      </c>
    </row>
    <row r="576" spans="1:19" hidden="1" x14ac:dyDescent="0.3">
      <c r="A576" t="s">
        <v>825</v>
      </c>
      <c r="B576" t="s">
        <v>826</v>
      </c>
      <c r="C576" t="s">
        <v>731</v>
      </c>
      <c r="D576">
        <v>18831</v>
      </c>
      <c r="E576" t="s">
        <v>841</v>
      </c>
      <c r="F576" t="s">
        <v>842</v>
      </c>
      <c r="G576" t="s">
        <v>41</v>
      </c>
      <c r="H576" t="s">
        <v>843</v>
      </c>
      <c r="I576" t="s">
        <v>31</v>
      </c>
      <c r="J576">
        <v>565</v>
      </c>
      <c r="K576" t="s">
        <v>844</v>
      </c>
      <c r="N576">
        <v>9</v>
      </c>
      <c r="O576">
        <v>0.41860000000000003</v>
      </c>
      <c r="P576" t="s">
        <v>38</v>
      </c>
      <c r="Q576">
        <v>1</v>
      </c>
      <c r="R576" t="s">
        <v>1272</v>
      </c>
      <c r="S576" s="1" t="s">
        <v>1338</v>
      </c>
    </row>
    <row r="577" spans="1:19" hidden="1" x14ac:dyDescent="0.3">
      <c r="A577" t="s">
        <v>825</v>
      </c>
      <c r="B577" t="s">
        <v>826</v>
      </c>
      <c r="C577" t="s">
        <v>731</v>
      </c>
      <c r="D577">
        <v>8524</v>
      </c>
      <c r="E577" t="s">
        <v>676</v>
      </c>
      <c r="F577" t="s">
        <v>668</v>
      </c>
      <c r="G577" t="s">
        <v>677</v>
      </c>
      <c r="H577" t="s">
        <v>678</v>
      </c>
      <c r="I577" t="s">
        <v>25</v>
      </c>
      <c r="J577">
        <v>226</v>
      </c>
      <c r="K577" t="s">
        <v>679</v>
      </c>
      <c r="N577">
        <v>10</v>
      </c>
      <c r="O577">
        <v>0.41449999999999998</v>
      </c>
      <c r="P577" t="s">
        <v>38</v>
      </c>
      <c r="Q577">
        <v>2</v>
      </c>
      <c r="R577" t="s">
        <v>1272</v>
      </c>
      <c r="S577" s="1" t="s">
        <v>1280</v>
      </c>
    </row>
    <row r="578" spans="1:19" hidden="1" x14ac:dyDescent="0.3">
      <c r="A578" t="s">
        <v>825</v>
      </c>
      <c r="B578" t="s">
        <v>826</v>
      </c>
      <c r="C578" t="s">
        <v>731</v>
      </c>
      <c r="D578">
        <v>15045</v>
      </c>
      <c r="E578" t="s">
        <v>519</v>
      </c>
      <c r="F578" t="s">
        <v>60</v>
      </c>
      <c r="G578" t="s">
        <v>520</v>
      </c>
      <c r="H578" t="s">
        <v>521</v>
      </c>
      <c r="I578" t="s">
        <v>352</v>
      </c>
      <c r="J578">
        <v>1756</v>
      </c>
      <c r="K578" t="s">
        <v>522</v>
      </c>
      <c r="L578">
        <v>10</v>
      </c>
      <c r="M578">
        <v>7.7499000000000002</v>
      </c>
      <c r="P578" t="s">
        <v>33</v>
      </c>
      <c r="Q578">
        <v>1</v>
      </c>
      <c r="R578" t="s">
        <v>1272</v>
      </c>
      <c r="S578" t="s">
        <v>1338</v>
      </c>
    </row>
    <row r="579" spans="1:19" hidden="1" x14ac:dyDescent="0.3">
      <c r="A579" t="s">
        <v>845</v>
      </c>
      <c r="B579" t="s">
        <v>846</v>
      </c>
      <c r="C579" t="s">
        <v>731</v>
      </c>
      <c r="D579">
        <v>9820</v>
      </c>
      <c r="E579" t="s">
        <v>150</v>
      </c>
      <c r="F579" t="s">
        <v>60</v>
      </c>
      <c r="G579" t="s">
        <v>151</v>
      </c>
      <c r="H579" t="s">
        <v>152</v>
      </c>
      <c r="I579" t="s">
        <v>25</v>
      </c>
      <c r="J579">
        <v>2512</v>
      </c>
      <c r="K579" t="s">
        <v>153</v>
      </c>
      <c r="L579">
        <v>3</v>
      </c>
      <c r="M579">
        <v>9.1662999999999997</v>
      </c>
      <c r="N579">
        <v>1</v>
      </c>
      <c r="O579">
        <v>0.48080000000000001</v>
      </c>
      <c r="P579" t="s">
        <v>27</v>
      </c>
      <c r="Q579">
        <v>1</v>
      </c>
      <c r="R579" t="s">
        <v>1272</v>
      </c>
      <c r="S579" s="1" t="s">
        <v>1338</v>
      </c>
    </row>
    <row r="580" spans="1:19" hidden="1" x14ac:dyDescent="0.3">
      <c r="A580" t="s">
        <v>845</v>
      </c>
      <c r="B580" t="s">
        <v>846</v>
      </c>
      <c r="C580" t="s">
        <v>731</v>
      </c>
      <c r="D580">
        <v>15905</v>
      </c>
      <c r="E580" t="s">
        <v>262</v>
      </c>
      <c r="F580" t="s">
        <v>60</v>
      </c>
      <c r="G580" t="s">
        <v>263</v>
      </c>
      <c r="H580" t="s">
        <v>264</v>
      </c>
      <c r="I580" t="s">
        <v>31</v>
      </c>
      <c r="J580">
        <v>772</v>
      </c>
      <c r="K580" t="s">
        <v>265</v>
      </c>
      <c r="L580">
        <v>1</v>
      </c>
      <c r="M580">
        <v>9.8119999999999994</v>
      </c>
      <c r="P580" t="s">
        <v>33</v>
      </c>
      <c r="Q580">
        <v>1</v>
      </c>
      <c r="R580" t="s">
        <v>1272</v>
      </c>
      <c r="S580" s="1" t="s">
        <v>1338</v>
      </c>
    </row>
    <row r="581" spans="1:19" hidden="1" x14ac:dyDescent="0.3">
      <c r="A581" t="s">
        <v>845</v>
      </c>
      <c r="B581" t="s">
        <v>846</v>
      </c>
      <c r="C581" t="s">
        <v>731</v>
      </c>
      <c r="D581">
        <v>13561</v>
      </c>
      <c r="E581" t="s">
        <v>832</v>
      </c>
      <c r="F581" t="s">
        <v>60</v>
      </c>
      <c r="G581" t="s">
        <v>833</v>
      </c>
      <c r="H581" t="s">
        <v>834</v>
      </c>
      <c r="I581" t="s">
        <v>31</v>
      </c>
      <c r="J581">
        <v>498</v>
      </c>
      <c r="K581" t="s">
        <v>835</v>
      </c>
      <c r="L581">
        <v>2</v>
      </c>
      <c r="M581">
        <v>9.4837000000000007</v>
      </c>
      <c r="N581">
        <v>7</v>
      </c>
      <c r="O581">
        <v>0.42870000000000003</v>
      </c>
      <c r="P581" t="s">
        <v>27</v>
      </c>
      <c r="Q581">
        <v>1</v>
      </c>
      <c r="R581" t="s">
        <v>1272</v>
      </c>
      <c r="S581" s="1" t="s">
        <v>1338</v>
      </c>
    </row>
    <row r="582" spans="1:19" hidden="1" x14ac:dyDescent="0.3">
      <c r="A582" t="s">
        <v>845</v>
      </c>
      <c r="B582" t="s">
        <v>846</v>
      </c>
      <c r="C582" t="s">
        <v>731</v>
      </c>
      <c r="D582">
        <v>17533</v>
      </c>
      <c r="E582" t="s">
        <v>746</v>
      </c>
      <c r="F582" t="s">
        <v>60</v>
      </c>
      <c r="G582" t="s">
        <v>719</v>
      </c>
      <c r="H582" t="s">
        <v>747</v>
      </c>
      <c r="I582" t="s">
        <v>25</v>
      </c>
      <c r="J582">
        <v>907</v>
      </c>
      <c r="K582" t="s">
        <v>748</v>
      </c>
      <c r="L582">
        <v>9</v>
      </c>
      <c r="M582">
        <v>6.9779</v>
      </c>
      <c r="N582">
        <v>2</v>
      </c>
      <c r="O582">
        <v>0.47570000000000001</v>
      </c>
      <c r="P582" t="s">
        <v>27</v>
      </c>
      <c r="Q582">
        <v>1</v>
      </c>
      <c r="R582" t="s">
        <v>1272</v>
      </c>
      <c r="S582" s="1" t="s">
        <v>1338</v>
      </c>
    </row>
    <row r="583" spans="1:19" hidden="1" x14ac:dyDescent="0.3">
      <c r="A583" t="s">
        <v>845</v>
      </c>
      <c r="B583" t="s">
        <v>846</v>
      </c>
      <c r="C583" t="s">
        <v>731</v>
      </c>
      <c r="D583">
        <v>14684</v>
      </c>
      <c r="E583" t="s">
        <v>847</v>
      </c>
      <c r="F583" t="s">
        <v>60</v>
      </c>
      <c r="G583" t="s">
        <v>61</v>
      </c>
      <c r="H583" t="s">
        <v>848</v>
      </c>
      <c r="I583" t="s">
        <v>25</v>
      </c>
      <c r="J583">
        <v>1309</v>
      </c>
      <c r="K583" t="s">
        <v>849</v>
      </c>
      <c r="L583">
        <v>8</v>
      </c>
      <c r="M583">
        <v>7.1093999999999999</v>
      </c>
      <c r="N583">
        <v>3</v>
      </c>
      <c r="O583">
        <v>0.46350000000000002</v>
      </c>
      <c r="P583" t="s">
        <v>27</v>
      </c>
      <c r="Q583">
        <v>2</v>
      </c>
      <c r="R583" t="s">
        <v>1272</v>
      </c>
      <c r="S583" s="1" t="s">
        <v>1280</v>
      </c>
    </row>
    <row r="584" spans="1:19" hidden="1" x14ac:dyDescent="0.3">
      <c r="A584" t="s">
        <v>845</v>
      </c>
      <c r="B584" t="s">
        <v>846</v>
      </c>
      <c r="C584" t="s">
        <v>731</v>
      </c>
      <c r="D584">
        <v>12428</v>
      </c>
      <c r="E584" t="s">
        <v>850</v>
      </c>
      <c r="F584" t="s">
        <v>74</v>
      </c>
      <c r="G584" t="s">
        <v>151</v>
      </c>
      <c r="H584" t="s">
        <v>851</v>
      </c>
      <c r="I584" t="s">
        <v>31</v>
      </c>
      <c r="J584">
        <v>891</v>
      </c>
      <c r="K584" t="s">
        <v>852</v>
      </c>
      <c r="L584">
        <v>4</v>
      </c>
      <c r="M584">
        <v>8.0213000000000001</v>
      </c>
      <c r="P584" t="s">
        <v>33</v>
      </c>
      <c r="Q584">
        <v>1</v>
      </c>
      <c r="R584" t="s">
        <v>1272</v>
      </c>
      <c r="S584" s="1" t="s">
        <v>1338</v>
      </c>
    </row>
    <row r="585" spans="1:19" hidden="1" x14ac:dyDescent="0.3">
      <c r="A585" t="s">
        <v>845</v>
      </c>
      <c r="B585" t="s">
        <v>846</v>
      </c>
      <c r="C585" t="s">
        <v>731</v>
      </c>
      <c r="D585">
        <v>18885</v>
      </c>
      <c r="E585" t="s">
        <v>86</v>
      </c>
      <c r="F585" t="s">
        <v>60</v>
      </c>
      <c r="G585" t="s">
        <v>87</v>
      </c>
      <c r="H585" t="s">
        <v>88</v>
      </c>
      <c r="I585" t="s">
        <v>31</v>
      </c>
      <c r="J585">
        <v>596</v>
      </c>
      <c r="K585" t="s">
        <v>89</v>
      </c>
      <c r="N585">
        <v>4</v>
      </c>
      <c r="O585">
        <v>0.44700000000000001</v>
      </c>
      <c r="P585" t="s">
        <v>38</v>
      </c>
      <c r="Q585">
        <v>2</v>
      </c>
      <c r="R585" t="s">
        <v>1272</v>
      </c>
      <c r="S585" s="1" t="s">
        <v>1280</v>
      </c>
    </row>
    <row r="586" spans="1:19" hidden="1" x14ac:dyDescent="0.3">
      <c r="A586" t="s">
        <v>845</v>
      </c>
      <c r="B586" t="s">
        <v>846</v>
      </c>
      <c r="C586" t="s">
        <v>731</v>
      </c>
      <c r="D586">
        <v>13237</v>
      </c>
      <c r="E586" t="s">
        <v>137</v>
      </c>
      <c r="F586" t="s">
        <v>60</v>
      </c>
      <c r="G586" t="s">
        <v>138</v>
      </c>
      <c r="H586" t="s">
        <v>139</v>
      </c>
      <c r="I586" t="s">
        <v>31</v>
      </c>
      <c r="J586">
        <v>1213</v>
      </c>
      <c r="K586" t="s">
        <v>140</v>
      </c>
      <c r="L586">
        <v>5</v>
      </c>
      <c r="M586">
        <v>7.6658999999999997</v>
      </c>
      <c r="P586" t="s">
        <v>33</v>
      </c>
      <c r="Q586">
        <v>1</v>
      </c>
      <c r="R586" t="s">
        <v>1272</v>
      </c>
      <c r="S586" s="1" t="s">
        <v>1338</v>
      </c>
    </row>
    <row r="587" spans="1:19" hidden="1" x14ac:dyDescent="0.3">
      <c r="A587" t="s">
        <v>845</v>
      </c>
      <c r="B587" t="s">
        <v>846</v>
      </c>
      <c r="C587" t="s">
        <v>731</v>
      </c>
      <c r="D587">
        <v>15013</v>
      </c>
      <c r="E587" t="s">
        <v>59</v>
      </c>
      <c r="F587" t="s">
        <v>60</v>
      </c>
      <c r="G587" t="s">
        <v>61</v>
      </c>
      <c r="H587" t="s">
        <v>62</v>
      </c>
      <c r="I587" t="s">
        <v>25</v>
      </c>
      <c r="J587">
        <v>550</v>
      </c>
      <c r="K587" t="s">
        <v>63</v>
      </c>
      <c r="N587">
        <v>5</v>
      </c>
      <c r="O587">
        <v>0.44490000000000002</v>
      </c>
      <c r="P587" t="s">
        <v>38</v>
      </c>
      <c r="Q587">
        <v>2</v>
      </c>
      <c r="R587" t="s">
        <v>1272</v>
      </c>
      <c r="S587" s="1" t="s">
        <v>1280</v>
      </c>
    </row>
    <row r="588" spans="1:19" hidden="1" x14ac:dyDescent="0.3">
      <c r="A588" t="s">
        <v>845</v>
      </c>
      <c r="B588" t="s">
        <v>846</v>
      </c>
      <c r="C588" t="s">
        <v>731</v>
      </c>
      <c r="D588">
        <v>19472</v>
      </c>
      <c r="E588" t="s">
        <v>332</v>
      </c>
      <c r="F588" t="s">
        <v>288</v>
      </c>
      <c r="G588" t="s">
        <v>333</v>
      </c>
      <c r="H588" t="s">
        <v>334</v>
      </c>
      <c r="I588" t="s">
        <v>31</v>
      </c>
      <c r="J588">
        <v>192</v>
      </c>
      <c r="K588" t="s">
        <v>335</v>
      </c>
      <c r="N588">
        <v>6</v>
      </c>
      <c r="O588">
        <v>0.43049999999999999</v>
      </c>
      <c r="P588" t="s">
        <v>38</v>
      </c>
      <c r="Q588">
        <v>1</v>
      </c>
      <c r="R588" t="s">
        <v>1272</v>
      </c>
      <c r="S588" s="1" t="s">
        <v>1338</v>
      </c>
    </row>
    <row r="589" spans="1:19" hidden="1" x14ac:dyDescent="0.3">
      <c r="A589" t="s">
        <v>845</v>
      </c>
      <c r="B589" t="s">
        <v>846</v>
      </c>
      <c r="C589" t="s">
        <v>731</v>
      </c>
      <c r="D589">
        <v>20772</v>
      </c>
      <c r="E589" t="s">
        <v>292</v>
      </c>
      <c r="F589" t="s">
        <v>293</v>
      </c>
      <c r="G589" t="s">
        <v>41</v>
      </c>
      <c r="H589" t="s">
        <v>294</v>
      </c>
      <c r="I589" t="s">
        <v>25</v>
      </c>
      <c r="J589">
        <v>787</v>
      </c>
      <c r="K589" t="s">
        <v>295</v>
      </c>
      <c r="L589">
        <v>6</v>
      </c>
      <c r="M589">
        <v>7.5502000000000002</v>
      </c>
      <c r="P589" t="s">
        <v>33</v>
      </c>
      <c r="Q589">
        <v>0</v>
      </c>
      <c r="R589" t="s">
        <v>1272</v>
      </c>
      <c r="S589" s="1" t="s">
        <v>1334</v>
      </c>
    </row>
    <row r="590" spans="1:19" hidden="1" x14ac:dyDescent="0.3">
      <c r="A590" t="s">
        <v>845</v>
      </c>
      <c r="B590" t="s">
        <v>846</v>
      </c>
      <c r="C590" t="s">
        <v>731</v>
      </c>
      <c r="D590">
        <v>16145</v>
      </c>
      <c r="E590" t="s">
        <v>182</v>
      </c>
      <c r="F590" t="s">
        <v>155</v>
      </c>
      <c r="G590" t="s">
        <v>183</v>
      </c>
      <c r="H590" t="s">
        <v>184</v>
      </c>
      <c r="I590" t="s">
        <v>31</v>
      </c>
      <c r="J590">
        <v>2447</v>
      </c>
      <c r="K590" t="s">
        <v>185</v>
      </c>
      <c r="L590">
        <v>7</v>
      </c>
      <c r="M590">
        <v>7.1776</v>
      </c>
      <c r="N590">
        <v>9</v>
      </c>
      <c r="O590">
        <v>0.42570000000000002</v>
      </c>
      <c r="P590" t="s">
        <v>27</v>
      </c>
      <c r="Q590">
        <v>0</v>
      </c>
      <c r="R590" t="s">
        <v>1272</v>
      </c>
      <c r="S590" s="1" t="s">
        <v>1334</v>
      </c>
    </row>
    <row r="591" spans="1:19" hidden="1" x14ac:dyDescent="0.3">
      <c r="A591" t="s">
        <v>845</v>
      </c>
      <c r="B591" t="s">
        <v>846</v>
      </c>
      <c r="C591" t="s">
        <v>731</v>
      </c>
      <c r="D591">
        <v>20259</v>
      </c>
      <c r="E591" t="s">
        <v>49</v>
      </c>
      <c r="F591" t="s">
        <v>50</v>
      </c>
      <c r="G591" t="s">
        <v>51</v>
      </c>
      <c r="H591" t="s">
        <v>52</v>
      </c>
      <c r="I591" t="s">
        <v>25</v>
      </c>
      <c r="J591">
        <v>313</v>
      </c>
      <c r="K591" t="s">
        <v>53</v>
      </c>
      <c r="N591">
        <v>8</v>
      </c>
      <c r="O591">
        <v>0.4269</v>
      </c>
      <c r="P591" t="s">
        <v>38</v>
      </c>
      <c r="Q591">
        <v>0</v>
      </c>
      <c r="R591" t="s">
        <v>1272</v>
      </c>
      <c r="S591" s="1" t="s">
        <v>1334</v>
      </c>
    </row>
    <row r="592" spans="1:19" hidden="1" x14ac:dyDescent="0.3">
      <c r="A592" t="s">
        <v>845</v>
      </c>
      <c r="B592" t="s">
        <v>846</v>
      </c>
      <c r="C592" t="s">
        <v>731</v>
      </c>
      <c r="D592">
        <v>12531</v>
      </c>
      <c r="E592" t="s">
        <v>853</v>
      </c>
      <c r="F592" t="s">
        <v>55</v>
      </c>
      <c r="G592" t="s">
        <v>130</v>
      </c>
      <c r="H592" t="s">
        <v>854</v>
      </c>
      <c r="I592" t="s">
        <v>31</v>
      </c>
      <c r="J592">
        <v>4074</v>
      </c>
      <c r="K592" t="s">
        <v>855</v>
      </c>
      <c r="N592">
        <v>10</v>
      </c>
      <c r="O592">
        <v>0.42120000000000002</v>
      </c>
      <c r="P592" t="s">
        <v>38</v>
      </c>
      <c r="Q592">
        <v>1</v>
      </c>
      <c r="R592" t="s">
        <v>1272</v>
      </c>
      <c r="S592" s="1" t="s">
        <v>1338</v>
      </c>
    </row>
    <row r="593" spans="1:19" hidden="1" x14ac:dyDescent="0.3">
      <c r="A593" t="s">
        <v>845</v>
      </c>
      <c r="B593" t="s">
        <v>846</v>
      </c>
      <c r="C593" t="s">
        <v>731</v>
      </c>
      <c r="D593">
        <v>14198</v>
      </c>
      <c r="E593" t="s">
        <v>73</v>
      </c>
      <c r="F593" t="s">
        <v>74</v>
      </c>
      <c r="G593" t="s">
        <v>75</v>
      </c>
      <c r="H593" t="s">
        <v>76</v>
      </c>
      <c r="I593" t="s">
        <v>31</v>
      </c>
      <c r="J593">
        <v>377</v>
      </c>
      <c r="K593" t="s">
        <v>77</v>
      </c>
      <c r="L593">
        <v>10</v>
      </c>
      <c r="M593">
        <v>6.9355000000000002</v>
      </c>
      <c r="P593" t="s">
        <v>33</v>
      </c>
      <c r="Q593">
        <v>0</v>
      </c>
      <c r="R593" t="s">
        <v>1272</v>
      </c>
      <c r="S593" t="s">
        <v>1275</v>
      </c>
    </row>
    <row r="594" spans="1:19" hidden="1" x14ac:dyDescent="0.3">
      <c r="A594" t="s">
        <v>856</v>
      </c>
      <c r="B594" t="s">
        <v>857</v>
      </c>
      <c r="C594" t="s">
        <v>731</v>
      </c>
      <c r="D594">
        <v>14198</v>
      </c>
      <c r="E594" t="s">
        <v>73</v>
      </c>
      <c r="F594" t="s">
        <v>74</v>
      </c>
      <c r="G594" t="s">
        <v>75</v>
      </c>
      <c r="H594" t="s">
        <v>76</v>
      </c>
      <c r="I594" t="s">
        <v>31</v>
      </c>
      <c r="J594">
        <v>377</v>
      </c>
      <c r="K594" t="s">
        <v>77</v>
      </c>
      <c r="L594">
        <v>1</v>
      </c>
      <c r="M594">
        <v>11.697699999999999</v>
      </c>
      <c r="P594" t="s">
        <v>33</v>
      </c>
      <c r="Q594">
        <v>0</v>
      </c>
      <c r="R594" t="s">
        <v>1272</v>
      </c>
      <c r="S594" s="1" t="s">
        <v>1275</v>
      </c>
    </row>
    <row r="595" spans="1:19" hidden="1" x14ac:dyDescent="0.3">
      <c r="A595" t="s">
        <v>856</v>
      </c>
      <c r="B595" t="s">
        <v>857</v>
      </c>
      <c r="C595" t="s">
        <v>731</v>
      </c>
      <c r="D595">
        <v>20775</v>
      </c>
      <c r="E595" t="s">
        <v>368</v>
      </c>
      <c r="F595" t="s">
        <v>369</v>
      </c>
      <c r="G595" t="s">
        <v>41</v>
      </c>
      <c r="H595" t="s">
        <v>370</v>
      </c>
      <c r="I595" t="s">
        <v>25</v>
      </c>
      <c r="J595">
        <v>912</v>
      </c>
      <c r="K595" t="s">
        <v>371</v>
      </c>
      <c r="N595">
        <v>1</v>
      </c>
      <c r="O595">
        <v>0.44009999999999999</v>
      </c>
      <c r="P595" t="s">
        <v>38</v>
      </c>
      <c r="Q595">
        <v>1</v>
      </c>
      <c r="R595" t="s">
        <v>1272</v>
      </c>
      <c r="S595" s="1" t="s">
        <v>1338</v>
      </c>
    </row>
    <row r="596" spans="1:19" hidden="1" x14ac:dyDescent="0.3">
      <c r="A596" t="s">
        <v>856</v>
      </c>
      <c r="B596" t="s">
        <v>857</v>
      </c>
      <c r="C596" t="s">
        <v>731</v>
      </c>
      <c r="D596">
        <v>16100</v>
      </c>
      <c r="E596" t="s">
        <v>732</v>
      </c>
      <c r="F596" t="s">
        <v>155</v>
      </c>
      <c r="G596" t="s">
        <v>472</v>
      </c>
      <c r="H596" t="s">
        <v>733</v>
      </c>
      <c r="I596" t="s">
        <v>31</v>
      </c>
      <c r="J596">
        <v>1444</v>
      </c>
      <c r="K596" t="s">
        <v>734</v>
      </c>
      <c r="L596">
        <v>9</v>
      </c>
      <c r="M596">
        <v>8.2227999999999994</v>
      </c>
      <c r="N596">
        <v>2</v>
      </c>
      <c r="O596">
        <v>0.4395</v>
      </c>
      <c r="P596" t="s">
        <v>27</v>
      </c>
      <c r="Q596">
        <v>2</v>
      </c>
      <c r="R596" t="s">
        <v>1272</v>
      </c>
      <c r="S596" s="1" t="s">
        <v>1280</v>
      </c>
    </row>
    <row r="597" spans="1:19" hidden="1" x14ac:dyDescent="0.3">
      <c r="A597" t="s">
        <v>856</v>
      </c>
      <c r="B597" t="s">
        <v>857</v>
      </c>
      <c r="C597" t="s">
        <v>731</v>
      </c>
      <c r="D597">
        <v>17649</v>
      </c>
      <c r="E597" t="s">
        <v>209</v>
      </c>
      <c r="F597" t="s">
        <v>155</v>
      </c>
      <c r="G597" t="s">
        <v>210</v>
      </c>
      <c r="H597" t="s">
        <v>211</v>
      </c>
      <c r="I597" t="s">
        <v>31</v>
      </c>
      <c r="J597">
        <v>471</v>
      </c>
      <c r="K597" t="s">
        <v>212</v>
      </c>
      <c r="L597">
        <v>2</v>
      </c>
      <c r="M597">
        <v>10.700799999999999</v>
      </c>
      <c r="P597" t="s">
        <v>33</v>
      </c>
      <c r="Q597">
        <v>2</v>
      </c>
      <c r="R597" t="s">
        <v>1272</v>
      </c>
      <c r="S597" s="1" t="s">
        <v>1280</v>
      </c>
    </row>
    <row r="598" spans="1:19" hidden="1" x14ac:dyDescent="0.3">
      <c r="A598" t="s">
        <v>856</v>
      </c>
      <c r="B598" t="s">
        <v>857</v>
      </c>
      <c r="C598" t="s">
        <v>731</v>
      </c>
      <c r="D598">
        <v>18831</v>
      </c>
      <c r="E598" t="s">
        <v>841</v>
      </c>
      <c r="F598" t="s">
        <v>842</v>
      </c>
      <c r="G598" t="s">
        <v>41</v>
      </c>
      <c r="H598" t="s">
        <v>843</v>
      </c>
      <c r="I598" t="s">
        <v>31</v>
      </c>
      <c r="J598">
        <v>565</v>
      </c>
      <c r="K598" t="s">
        <v>844</v>
      </c>
      <c r="L598">
        <v>3</v>
      </c>
      <c r="M598">
        <v>9.6646999999999998</v>
      </c>
      <c r="P598" t="s">
        <v>33</v>
      </c>
      <c r="Q598">
        <v>1</v>
      </c>
      <c r="R598" t="s">
        <v>1272</v>
      </c>
      <c r="S598" s="1" t="s">
        <v>1338</v>
      </c>
    </row>
    <row r="599" spans="1:19" hidden="1" x14ac:dyDescent="0.3">
      <c r="A599" t="s">
        <v>856</v>
      </c>
      <c r="B599" t="s">
        <v>857</v>
      </c>
      <c r="C599" t="s">
        <v>731</v>
      </c>
      <c r="D599">
        <v>20773</v>
      </c>
      <c r="E599" t="s">
        <v>109</v>
      </c>
      <c r="F599" t="s">
        <v>60</v>
      </c>
      <c r="G599" t="s">
        <v>41</v>
      </c>
      <c r="H599" t="s">
        <v>110</v>
      </c>
      <c r="I599" t="s">
        <v>25</v>
      </c>
      <c r="J599">
        <v>1156</v>
      </c>
      <c r="K599" t="s">
        <v>111</v>
      </c>
      <c r="N599">
        <v>3</v>
      </c>
      <c r="O599">
        <v>0.43280000000000002</v>
      </c>
      <c r="P599" t="s">
        <v>38</v>
      </c>
      <c r="Q599">
        <v>0</v>
      </c>
      <c r="R599" t="s">
        <v>1272</v>
      </c>
      <c r="S599" s="1" t="s">
        <v>1275</v>
      </c>
    </row>
    <row r="600" spans="1:19" hidden="1" x14ac:dyDescent="0.3">
      <c r="A600" t="s">
        <v>856</v>
      </c>
      <c r="B600" t="s">
        <v>857</v>
      </c>
      <c r="C600" t="s">
        <v>731</v>
      </c>
      <c r="D600">
        <v>16290</v>
      </c>
      <c r="E600" t="s">
        <v>799</v>
      </c>
      <c r="F600" t="s">
        <v>74</v>
      </c>
      <c r="G600" t="s">
        <v>800</v>
      </c>
      <c r="H600" t="s">
        <v>801</v>
      </c>
      <c r="I600" t="s">
        <v>25</v>
      </c>
      <c r="J600">
        <v>511</v>
      </c>
      <c r="K600" t="s">
        <v>802</v>
      </c>
      <c r="N600">
        <v>4</v>
      </c>
      <c r="O600">
        <v>0.41959999999999997</v>
      </c>
      <c r="P600" t="s">
        <v>38</v>
      </c>
      <c r="Q600">
        <v>0</v>
      </c>
      <c r="R600" t="s">
        <v>1272</v>
      </c>
      <c r="S600" s="1" t="s">
        <v>1275</v>
      </c>
    </row>
    <row r="601" spans="1:19" hidden="1" x14ac:dyDescent="0.3">
      <c r="A601" t="s">
        <v>856</v>
      </c>
      <c r="B601" t="s">
        <v>857</v>
      </c>
      <c r="C601" t="s">
        <v>731</v>
      </c>
      <c r="D601">
        <v>18853</v>
      </c>
      <c r="E601" t="s">
        <v>714</v>
      </c>
      <c r="F601" t="s">
        <v>715</v>
      </c>
      <c r="G601" t="s">
        <v>41</v>
      </c>
      <c r="H601" t="s">
        <v>716</v>
      </c>
      <c r="I601" t="s">
        <v>25</v>
      </c>
      <c r="J601">
        <v>540</v>
      </c>
      <c r="K601" t="s">
        <v>717</v>
      </c>
      <c r="L601">
        <v>4</v>
      </c>
      <c r="M601">
        <v>9.6250999999999998</v>
      </c>
      <c r="P601" t="s">
        <v>33</v>
      </c>
      <c r="Q601">
        <v>1</v>
      </c>
      <c r="R601" t="s">
        <v>1272</v>
      </c>
      <c r="S601" s="1" t="s">
        <v>1338</v>
      </c>
    </row>
    <row r="602" spans="1:19" hidden="1" x14ac:dyDescent="0.3">
      <c r="A602" t="s">
        <v>856</v>
      </c>
      <c r="B602" t="s">
        <v>857</v>
      </c>
      <c r="C602" t="s">
        <v>731</v>
      </c>
      <c r="D602">
        <v>13562</v>
      </c>
      <c r="E602" t="s">
        <v>858</v>
      </c>
      <c r="F602" t="s">
        <v>60</v>
      </c>
      <c r="G602" t="s">
        <v>859</v>
      </c>
      <c r="H602" t="s">
        <v>860</v>
      </c>
      <c r="I602" t="s">
        <v>31</v>
      </c>
      <c r="J602">
        <v>511</v>
      </c>
      <c r="K602" t="s">
        <v>861</v>
      </c>
      <c r="L602">
        <v>5</v>
      </c>
      <c r="M602">
        <v>9.4880999999999993</v>
      </c>
      <c r="P602" t="s">
        <v>33</v>
      </c>
      <c r="Q602">
        <v>2</v>
      </c>
      <c r="R602" t="s">
        <v>1272</v>
      </c>
      <c r="S602" s="1" t="s">
        <v>1280</v>
      </c>
    </row>
    <row r="603" spans="1:19" hidden="1" x14ac:dyDescent="0.3">
      <c r="A603" t="s">
        <v>856</v>
      </c>
      <c r="B603" t="s">
        <v>857</v>
      </c>
      <c r="C603" t="s">
        <v>731</v>
      </c>
      <c r="D603">
        <v>16211</v>
      </c>
      <c r="E603" t="s">
        <v>266</v>
      </c>
      <c r="F603" t="s">
        <v>74</v>
      </c>
      <c r="G603" t="s">
        <v>267</v>
      </c>
      <c r="H603" t="s">
        <v>268</v>
      </c>
      <c r="I603" t="s">
        <v>31</v>
      </c>
      <c r="J603">
        <v>1579</v>
      </c>
      <c r="K603" t="s">
        <v>269</v>
      </c>
      <c r="N603">
        <v>5</v>
      </c>
      <c r="O603">
        <v>0.40579999999999999</v>
      </c>
      <c r="P603" t="s">
        <v>38</v>
      </c>
      <c r="Q603">
        <v>0</v>
      </c>
      <c r="R603" t="s">
        <v>1272</v>
      </c>
      <c r="S603" s="1" t="s">
        <v>1275</v>
      </c>
    </row>
    <row r="604" spans="1:19" hidden="1" x14ac:dyDescent="0.3">
      <c r="A604" t="s">
        <v>856</v>
      </c>
      <c r="B604" t="s">
        <v>857</v>
      </c>
      <c r="C604" t="s">
        <v>731</v>
      </c>
      <c r="D604">
        <v>17770</v>
      </c>
      <c r="E604" t="s">
        <v>862</v>
      </c>
      <c r="F604" t="s">
        <v>60</v>
      </c>
      <c r="G604" t="s">
        <v>863</v>
      </c>
      <c r="H604" t="s">
        <v>864</v>
      </c>
      <c r="I604" t="s">
        <v>31</v>
      </c>
      <c r="J604">
        <v>499</v>
      </c>
      <c r="K604" t="s">
        <v>865</v>
      </c>
      <c r="L604">
        <v>6</v>
      </c>
      <c r="M604">
        <v>9.1033000000000008</v>
      </c>
      <c r="P604" t="s">
        <v>33</v>
      </c>
      <c r="Q604">
        <v>2</v>
      </c>
      <c r="R604" t="s">
        <v>1272</v>
      </c>
      <c r="S604" s="1" t="s">
        <v>1280</v>
      </c>
    </row>
    <row r="605" spans="1:19" hidden="1" x14ac:dyDescent="0.3">
      <c r="A605" t="s">
        <v>856</v>
      </c>
      <c r="B605" t="s">
        <v>857</v>
      </c>
      <c r="C605" t="s">
        <v>731</v>
      </c>
      <c r="D605">
        <v>18885</v>
      </c>
      <c r="E605" t="s">
        <v>86</v>
      </c>
      <c r="F605" t="s">
        <v>60</v>
      </c>
      <c r="G605" t="s">
        <v>87</v>
      </c>
      <c r="H605" t="s">
        <v>88</v>
      </c>
      <c r="I605" t="s">
        <v>31</v>
      </c>
      <c r="J605">
        <v>596</v>
      </c>
      <c r="K605" t="s">
        <v>89</v>
      </c>
      <c r="N605">
        <v>6</v>
      </c>
      <c r="O605">
        <v>0.40379999999999999</v>
      </c>
      <c r="P605" t="s">
        <v>38</v>
      </c>
      <c r="Q605">
        <v>0</v>
      </c>
      <c r="R605" t="s">
        <v>1272</v>
      </c>
      <c r="S605" s="1" t="s">
        <v>1334</v>
      </c>
    </row>
    <row r="606" spans="1:19" hidden="1" x14ac:dyDescent="0.3">
      <c r="A606" t="s">
        <v>856</v>
      </c>
      <c r="B606" t="s">
        <v>857</v>
      </c>
      <c r="C606" t="s">
        <v>731</v>
      </c>
      <c r="D606">
        <v>3074</v>
      </c>
      <c r="E606" t="s">
        <v>718</v>
      </c>
      <c r="F606" t="s">
        <v>60</v>
      </c>
      <c r="G606" t="s">
        <v>719</v>
      </c>
      <c r="H606" t="s">
        <v>720</v>
      </c>
      <c r="I606" t="s">
        <v>31</v>
      </c>
      <c r="J606">
        <v>207</v>
      </c>
      <c r="K606" t="s">
        <v>721</v>
      </c>
      <c r="L606">
        <v>7</v>
      </c>
      <c r="M606">
        <v>8.6832999999999991</v>
      </c>
      <c r="P606" t="s">
        <v>33</v>
      </c>
      <c r="Q606">
        <v>1</v>
      </c>
      <c r="R606" t="s">
        <v>1272</v>
      </c>
      <c r="S606" s="1" t="s">
        <v>1338</v>
      </c>
    </row>
    <row r="607" spans="1:19" hidden="1" x14ac:dyDescent="0.3">
      <c r="A607" t="s">
        <v>856</v>
      </c>
      <c r="B607" t="s">
        <v>857</v>
      </c>
      <c r="C607" t="s">
        <v>731</v>
      </c>
      <c r="D607">
        <v>15013</v>
      </c>
      <c r="E607" t="s">
        <v>59</v>
      </c>
      <c r="F607" t="s">
        <v>60</v>
      </c>
      <c r="G607" t="s">
        <v>61</v>
      </c>
      <c r="H607" t="s">
        <v>62</v>
      </c>
      <c r="I607" t="s">
        <v>25</v>
      </c>
      <c r="J607">
        <v>550</v>
      </c>
      <c r="K607" t="s">
        <v>63</v>
      </c>
      <c r="N607">
        <v>7</v>
      </c>
      <c r="O607">
        <v>0.4027</v>
      </c>
      <c r="P607" t="s">
        <v>38</v>
      </c>
      <c r="Q607">
        <v>0</v>
      </c>
      <c r="R607" t="s">
        <v>1272</v>
      </c>
      <c r="S607" s="1" t="s">
        <v>1334</v>
      </c>
    </row>
    <row r="608" spans="1:19" hidden="1" x14ac:dyDescent="0.3">
      <c r="A608" t="s">
        <v>856</v>
      </c>
      <c r="B608" t="s">
        <v>857</v>
      </c>
      <c r="C608" t="s">
        <v>731</v>
      </c>
      <c r="D608">
        <v>1063</v>
      </c>
      <c r="E608" t="s">
        <v>866</v>
      </c>
      <c r="F608" t="s">
        <v>155</v>
      </c>
      <c r="G608" t="s">
        <v>867</v>
      </c>
      <c r="H608" t="s">
        <v>868</v>
      </c>
      <c r="I608" t="s">
        <v>25</v>
      </c>
      <c r="J608">
        <v>224</v>
      </c>
      <c r="K608" t="s">
        <v>869</v>
      </c>
      <c r="N608">
        <v>8</v>
      </c>
      <c r="O608">
        <v>0.39660000000000001</v>
      </c>
      <c r="P608" t="s">
        <v>38</v>
      </c>
      <c r="Q608">
        <v>2</v>
      </c>
      <c r="R608" t="s">
        <v>1272</v>
      </c>
      <c r="S608" s="1" t="s">
        <v>1280</v>
      </c>
    </row>
    <row r="609" spans="1:19" hidden="1" x14ac:dyDescent="0.3">
      <c r="A609" t="s">
        <v>856</v>
      </c>
      <c r="B609" t="s">
        <v>857</v>
      </c>
      <c r="C609" t="s">
        <v>731</v>
      </c>
      <c r="D609">
        <v>5138</v>
      </c>
      <c r="E609" t="s">
        <v>870</v>
      </c>
      <c r="F609" t="s">
        <v>60</v>
      </c>
      <c r="G609" t="s">
        <v>871</v>
      </c>
      <c r="H609" t="s">
        <v>872</v>
      </c>
      <c r="I609" t="s">
        <v>25</v>
      </c>
      <c r="J609">
        <v>475</v>
      </c>
      <c r="K609" t="s">
        <v>873</v>
      </c>
      <c r="L609">
        <v>8</v>
      </c>
      <c r="M609">
        <v>8.6648999999999994</v>
      </c>
      <c r="P609" t="s">
        <v>33</v>
      </c>
      <c r="Q609">
        <v>0</v>
      </c>
      <c r="R609" t="s">
        <v>1272</v>
      </c>
      <c r="S609" s="1" t="s">
        <v>1334</v>
      </c>
    </row>
    <row r="610" spans="1:19" hidden="1" x14ac:dyDescent="0.3">
      <c r="A610" t="s">
        <v>856</v>
      </c>
      <c r="B610" t="s">
        <v>857</v>
      </c>
      <c r="C610" t="s">
        <v>731</v>
      </c>
      <c r="D610">
        <v>9821</v>
      </c>
      <c r="E610" t="s">
        <v>21</v>
      </c>
      <c r="F610" t="s">
        <v>22</v>
      </c>
      <c r="G610" t="s">
        <v>23</v>
      </c>
      <c r="H610" t="s">
        <v>24</v>
      </c>
      <c r="I610" t="s">
        <v>25</v>
      </c>
      <c r="J610">
        <v>998</v>
      </c>
      <c r="K610" t="s">
        <v>26</v>
      </c>
      <c r="N610">
        <v>9</v>
      </c>
      <c r="O610">
        <v>0.39400000000000002</v>
      </c>
      <c r="P610" t="s">
        <v>38</v>
      </c>
      <c r="Q610">
        <v>0</v>
      </c>
      <c r="R610" t="s">
        <v>1272</v>
      </c>
      <c r="S610" s="1" t="s">
        <v>1334</v>
      </c>
    </row>
    <row r="611" spans="1:19" hidden="1" x14ac:dyDescent="0.3">
      <c r="A611" t="s">
        <v>856</v>
      </c>
      <c r="B611" t="s">
        <v>857</v>
      </c>
      <c r="C611" t="s">
        <v>731</v>
      </c>
      <c r="D611">
        <v>12764</v>
      </c>
      <c r="E611" t="s">
        <v>125</v>
      </c>
      <c r="F611" t="s">
        <v>60</v>
      </c>
      <c r="G611" t="s">
        <v>126</v>
      </c>
      <c r="H611" t="s">
        <v>127</v>
      </c>
      <c r="I611" t="s">
        <v>31</v>
      </c>
      <c r="J611">
        <v>442</v>
      </c>
      <c r="K611" t="s">
        <v>128</v>
      </c>
      <c r="L611">
        <v>10</v>
      </c>
      <c r="M611">
        <v>8.2165999999999997</v>
      </c>
      <c r="P611" t="s">
        <v>33</v>
      </c>
      <c r="Q611">
        <v>0</v>
      </c>
      <c r="R611" t="s">
        <v>1272</v>
      </c>
      <c r="S611" s="1" t="s">
        <v>1334</v>
      </c>
    </row>
    <row r="612" spans="1:19" hidden="1" x14ac:dyDescent="0.3">
      <c r="A612" t="s">
        <v>856</v>
      </c>
      <c r="B612" t="s">
        <v>857</v>
      </c>
      <c r="C612" t="s">
        <v>731</v>
      </c>
      <c r="D612">
        <v>13739</v>
      </c>
      <c r="E612" t="s">
        <v>358</v>
      </c>
      <c r="F612" t="s">
        <v>288</v>
      </c>
      <c r="G612" t="s">
        <v>359</v>
      </c>
      <c r="H612" t="s">
        <v>360</v>
      </c>
      <c r="I612" t="s">
        <v>31</v>
      </c>
      <c r="J612">
        <v>610</v>
      </c>
      <c r="K612" t="s">
        <v>361</v>
      </c>
      <c r="N612">
        <v>10</v>
      </c>
      <c r="O612">
        <v>0.39300000000000002</v>
      </c>
      <c r="P612" t="s">
        <v>38</v>
      </c>
      <c r="Q612">
        <v>1</v>
      </c>
      <c r="R612" t="s">
        <v>1272</v>
      </c>
      <c r="S612" s="1" t="s">
        <v>1338</v>
      </c>
    </row>
    <row r="613" spans="1:19" hidden="1" x14ac:dyDescent="0.3">
      <c r="A613" t="s">
        <v>874</v>
      </c>
      <c r="B613" t="s">
        <v>875</v>
      </c>
      <c r="C613" t="s">
        <v>731</v>
      </c>
      <c r="D613">
        <v>19509</v>
      </c>
      <c r="E613" t="s">
        <v>876</v>
      </c>
      <c r="F613" t="s">
        <v>155</v>
      </c>
      <c r="G613" t="s">
        <v>877</v>
      </c>
      <c r="H613" t="s">
        <v>878</v>
      </c>
      <c r="I613" t="s">
        <v>31</v>
      </c>
      <c r="J613">
        <v>201</v>
      </c>
      <c r="K613" t="s">
        <v>879</v>
      </c>
      <c r="L613">
        <v>1</v>
      </c>
      <c r="M613">
        <v>8.0169999999999995</v>
      </c>
      <c r="P613" t="s">
        <v>33</v>
      </c>
      <c r="Q613">
        <v>2</v>
      </c>
      <c r="R613" t="s">
        <v>1272</v>
      </c>
      <c r="S613" s="1" t="s">
        <v>1280</v>
      </c>
    </row>
    <row r="614" spans="1:19" hidden="1" x14ac:dyDescent="0.3">
      <c r="A614" t="s">
        <v>874</v>
      </c>
      <c r="B614" t="s">
        <v>875</v>
      </c>
      <c r="C614" t="s">
        <v>731</v>
      </c>
      <c r="D614">
        <v>20773</v>
      </c>
      <c r="E614" t="s">
        <v>109</v>
      </c>
      <c r="F614" t="s">
        <v>60</v>
      </c>
      <c r="G614" t="s">
        <v>41</v>
      </c>
      <c r="H614" t="s">
        <v>110</v>
      </c>
      <c r="I614" t="s">
        <v>25</v>
      </c>
      <c r="J614">
        <v>1156</v>
      </c>
      <c r="K614" t="s">
        <v>111</v>
      </c>
      <c r="N614">
        <v>1</v>
      </c>
      <c r="O614">
        <v>0.44009999999999999</v>
      </c>
      <c r="P614" t="s">
        <v>38</v>
      </c>
      <c r="Q614">
        <v>0</v>
      </c>
      <c r="R614" t="s">
        <v>1272</v>
      </c>
      <c r="S614" s="1" t="s">
        <v>1334</v>
      </c>
    </row>
    <row r="615" spans="1:19" hidden="1" x14ac:dyDescent="0.3">
      <c r="A615" t="s">
        <v>874</v>
      </c>
      <c r="B615" t="s">
        <v>875</v>
      </c>
      <c r="C615" t="s">
        <v>731</v>
      </c>
      <c r="D615">
        <v>16145</v>
      </c>
      <c r="E615" t="s">
        <v>182</v>
      </c>
      <c r="F615" t="s">
        <v>155</v>
      </c>
      <c r="G615" t="s">
        <v>183</v>
      </c>
      <c r="H615" t="s">
        <v>184</v>
      </c>
      <c r="I615" t="s">
        <v>31</v>
      </c>
      <c r="J615">
        <v>2447</v>
      </c>
      <c r="K615" t="s">
        <v>185</v>
      </c>
      <c r="L615">
        <v>2</v>
      </c>
      <c r="M615">
        <v>7.4748000000000001</v>
      </c>
      <c r="N615">
        <v>2</v>
      </c>
      <c r="O615">
        <v>0.3952</v>
      </c>
      <c r="P615" t="s">
        <v>27</v>
      </c>
      <c r="Q615">
        <v>2</v>
      </c>
      <c r="R615" t="s">
        <v>1272</v>
      </c>
      <c r="S615" s="1" t="s">
        <v>1280</v>
      </c>
    </row>
    <row r="616" spans="1:19" hidden="1" x14ac:dyDescent="0.3">
      <c r="A616" t="s">
        <v>874</v>
      </c>
      <c r="B616" t="s">
        <v>875</v>
      </c>
      <c r="C616" t="s">
        <v>731</v>
      </c>
      <c r="D616">
        <v>19400</v>
      </c>
      <c r="E616" t="s">
        <v>805</v>
      </c>
      <c r="F616" t="s">
        <v>60</v>
      </c>
      <c r="G616" t="s">
        <v>806</v>
      </c>
      <c r="H616" t="s">
        <v>807</v>
      </c>
      <c r="I616" t="s">
        <v>31</v>
      </c>
      <c r="J616">
        <v>534</v>
      </c>
      <c r="K616" t="s">
        <v>808</v>
      </c>
      <c r="L616">
        <v>3</v>
      </c>
      <c r="M616">
        <v>7.28</v>
      </c>
      <c r="P616" t="s">
        <v>33</v>
      </c>
      <c r="Q616">
        <v>0</v>
      </c>
      <c r="R616" t="s">
        <v>1272</v>
      </c>
      <c r="S616" s="1" t="s">
        <v>1275</v>
      </c>
    </row>
    <row r="617" spans="1:19" hidden="1" x14ac:dyDescent="0.3">
      <c r="A617" t="s">
        <v>874</v>
      </c>
      <c r="B617" t="s">
        <v>875</v>
      </c>
      <c r="C617" t="s">
        <v>731</v>
      </c>
      <c r="D617">
        <v>20259</v>
      </c>
      <c r="E617" t="s">
        <v>49</v>
      </c>
      <c r="F617" t="s">
        <v>50</v>
      </c>
      <c r="G617" t="s">
        <v>51</v>
      </c>
      <c r="H617" t="s">
        <v>52</v>
      </c>
      <c r="I617" t="s">
        <v>25</v>
      </c>
      <c r="J617">
        <v>313</v>
      </c>
      <c r="K617" t="s">
        <v>53</v>
      </c>
      <c r="N617">
        <v>3</v>
      </c>
      <c r="O617">
        <v>0.39</v>
      </c>
      <c r="P617" t="s">
        <v>38</v>
      </c>
      <c r="Q617">
        <v>2</v>
      </c>
      <c r="R617" t="s">
        <v>1272</v>
      </c>
      <c r="S617" s="1" t="s">
        <v>1280</v>
      </c>
    </row>
    <row r="618" spans="1:19" hidden="1" x14ac:dyDescent="0.3">
      <c r="A618" t="s">
        <v>874</v>
      </c>
      <c r="B618" t="s">
        <v>875</v>
      </c>
      <c r="C618" t="s">
        <v>731</v>
      </c>
      <c r="D618">
        <v>9821</v>
      </c>
      <c r="E618" t="s">
        <v>21</v>
      </c>
      <c r="F618" t="s">
        <v>22</v>
      </c>
      <c r="G618" t="s">
        <v>23</v>
      </c>
      <c r="H618" t="s">
        <v>24</v>
      </c>
      <c r="I618" t="s">
        <v>25</v>
      </c>
      <c r="J618">
        <v>998</v>
      </c>
      <c r="K618" t="s">
        <v>26</v>
      </c>
      <c r="N618">
        <v>4</v>
      </c>
      <c r="O618">
        <v>0.38900000000000001</v>
      </c>
      <c r="P618" t="s">
        <v>38</v>
      </c>
      <c r="Q618">
        <v>1</v>
      </c>
      <c r="R618" t="s">
        <v>1272</v>
      </c>
      <c r="S618" s="1" t="s">
        <v>1338</v>
      </c>
    </row>
    <row r="619" spans="1:19" hidden="1" x14ac:dyDescent="0.3">
      <c r="A619" t="s">
        <v>874</v>
      </c>
      <c r="B619" t="s">
        <v>875</v>
      </c>
      <c r="C619" t="s">
        <v>731</v>
      </c>
      <c r="D619">
        <v>14198</v>
      </c>
      <c r="E619" t="s">
        <v>73</v>
      </c>
      <c r="F619" t="s">
        <v>74</v>
      </c>
      <c r="G619" t="s">
        <v>75</v>
      </c>
      <c r="H619" t="s">
        <v>76</v>
      </c>
      <c r="I619" t="s">
        <v>31</v>
      </c>
      <c r="J619">
        <v>377</v>
      </c>
      <c r="K619" t="s">
        <v>77</v>
      </c>
      <c r="L619">
        <v>4</v>
      </c>
      <c r="M619">
        <v>6.6247999999999996</v>
      </c>
      <c r="P619" t="s">
        <v>33</v>
      </c>
      <c r="Q619">
        <v>1</v>
      </c>
      <c r="R619" t="s">
        <v>1272</v>
      </c>
      <c r="S619" s="1" t="s">
        <v>1338</v>
      </c>
    </row>
    <row r="620" spans="1:19" hidden="1" x14ac:dyDescent="0.3">
      <c r="A620" t="s">
        <v>874</v>
      </c>
      <c r="B620" t="s">
        <v>875</v>
      </c>
      <c r="C620" t="s">
        <v>731</v>
      </c>
      <c r="D620">
        <v>8524</v>
      </c>
      <c r="E620" t="s">
        <v>676</v>
      </c>
      <c r="F620" t="s">
        <v>668</v>
      </c>
      <c r="G620" t="s">
        <v>677</v>
      </c>
      <c r="H620" t="s">
        <v>678</v>
      </c>
      <c r="I620" t="s">
        <v>25</v>
      </c>
      <c r="J620">
        <v>226</v>
      </c>
      <c r="K620" t="s">
        <v>679</v>
      </c>
      <c r="N620">
        <v>5</v>
      </c>
      <c r="O620">
        <v>0.38369999999999999</v>
      </c>
      <c r="P620" t="s">
        <v>38</v>
      </c>
      <c r="Q620">
        <v>2</v>
      </c>
      <c r="R620" t="s">
        <v>1272</v>
      </c>
      <c r="S620" s="1" t="s">
        <v>1280</v>
      </c>
    </row>
    <row r="621" spans="1:19" hidden="1" x14ac:dyDescent="0.3">
      <c r="A621" t="s">
        <v>874</v>
      </c>
      <c r="B621" t="s">
        <v>875</v>
      </c>
      <c r="C621" t="s">
        <v>731</v>
      </c>
      <c r="D621">
        <v>15995</v>
      </c>
      <c r="E621" t="s">
        <v>513</v>
      </c>
      <c r="F621" t="s">
        <v>155</v>
      </c>
      <c r="G621" t="s">
        <v>514</v>
      </c>
      <c r="H621" t="s">
        <v>515</v>
      </c>
      <c r="I621" t="s">
        <v>31</v>
      </c>
      <c r="J621">
        <v>1282</v>
      </c>
      <c r="K621" t="s">
        <v>516</v>
      </c>
      <c r="L621">
        <v>5</v>
      </c>
      <c r="M621">
        <v>6.3094999999999999</v>
      </c>
      <c r="P621" t="s">
        <v>33</v>
      </c>
      <c r="Q621">
        <v>0</v>
      </c>
      <c r="R621" t="s">
        <v>1272</v>
      </c>
      <c r="S621" s="1" t="s">
        <v>1334</v>
      </c>
    </row>
    <row r="622" spans="1:19" hidden="1" x14ac:dyDescent="0.3">
      <c r="A622" t="s">
        <v>874</v>
      </c>
      <c r="B622" t="s">
        <v>875</v>
      </c>
      <c r="C622" t="s">
        <v>731</v>
      </c>
      <c r="D622">
        <v>19111</v>
      </c>
      <c r="E622" t="s">
        <v>645</v>
      </c>
      <c r="F622" t="s">
        <v>22</v>
      </c>
      <c r="G622" t="s">
        <v>646</v>
      </c>
      <c r="H622" t="s">
        <v>647</v>
      </c>
      <c r="I622" t="s">
        <v>31</v>
      </c>
      <c r="J622">
        <v>240</v>
      </c>
      <c r="K622" t="s">
        <v>648</v>
      </c>
      <c r="L622">
        <v>6</v>
      </c>
      <c r="M622">
        <v>5.8704000000000001</v>
      </c>
      <c r="P622" t="s">
        <v>33</v>
      </c>
      <c r="Q622">
        <v>1</v>
      </c>
      <c r="R622" t="s">
        <v>1272</v>
      </c>
      <c r="S622" s="1" t="s">
        <v>1338</v>
      </c>
    </row>
    <row r="623" spans="1:19" hidden="1" x14ac:dyDescent="0.3">
      <c r="A623" t="s">
        <v>874</v>
      </c>
      <c r="B623" t="s">
        <v>875</v>
      </c>
      <c r="C623" t="s">
        <v>731</v>
      </c>
      <c r="D623">
        <v>20595</v>
      </c>
      <c r="E623" t="s">
        <v>190</v>
      </c>
      <c r="F623" t="s">
        <v>191</v>
      </c>
      <c r="G623" t="s">
        <v>192</v>
      </c>
      <c r="H623" t="s">
        <v>193</v>
      </c>
      <c r="I623" t="s">
        <v>25</v>
      </c>
      <c r="J623">
        <v>2941</v>
      </c>
      <c r="K623" t="s">
        <v>194</v>
      </c>
      <c r="N623">
        <v>6</v>
      </c>
      <c r="O623">
        <v>0.38229999999999997</v>
      </c>
      <c r="P623" t="s">
        <v>38</v>
      </c>
      <c r="Q623">
        <v>2</v>
      </c>
      <c r="R623" t="s">
        <v>1272</v>
      </c>
      <c r="S623" s="1" t="s">
        <v>1280</v>
      </c>
    </row>
    <row r="624" spans="1:19" hidden="1" x14ac:dyDescent="0.3">
      <c r="A624" t="s">
        <v>874</v>
      </c>
      <c r="B624" t="s">
        <v>875</v>
      </c>
      <c r="C624" t="s">
        <v>731</v>
      </c>
      <c r="D624">
        <v>15905</v>
      </c>
      <c r="E624" t="s">
        <v>262</v>
      </c>
      <c r="F624" t="s">
        <v>60</v>
      </c>
      <c r="G624" t="s">
        <v>263</v>
      </c>
      <c r="H624" t="s">
        <v>264</v>
      </c>
      <c r="I624" t="s">
        <v>31</v>
      </c>
      <c r="J624">
        <v>772</v>
      </c>
      <c r="K624" t="s">
        <v>265</v>
      </c>
      <c r="L624">
        <v>7</v>
      </c>
      <c r="M624">
        <v>5.7522000000000002</v>
      </c>
      <c r="P624" t="s">
        <v>33</v>
      </c>
      <c r="Q624">
        <v>2</v>
      </c>
      <c r="R624" t="s">
        <v>1272</v>
      </c>
      <c r="S624" s="1" t="s">
        <v>1280</v>
      </c>
    </row>
    <row r="625" spans="1:19" hidden="1" x14ac:dyDescent="0.3">
      <c r="A625" t="s">
        <v>874</v>
      </c>
      <c r="B625" t="s">
        <v>875</v>
      </c>
      <c r="C625" t="s">
        <v>731</v>
      </c>
      <c r="D625">
        <v>19992</v>
      </c>
      <c r="E625" t="s">
        <v>408</v>
      </c>
      <c r="F625" t="s">
        <v>22</v>
      </c>
      <c r="G625" t="s">
        <v>409</v>
      </c>
      <c r="H625" t="s">
        <v>410</v>
      </c>
      <c r="I625" t="s">
        <v>31</v>
      </c>
      <c r="J625">
        <v>553</v>
      </c>
      <c r="K625" t="s">
        <v>411</v>
      </c>
      <c r="N625">
        <v>7</v>
      </c>
      <c r="O625">
        <v>0.38119999999999998</v>
      </c>
      <c r="P625" t="s">
        <v>38</v>
      </c>
      <c r="Q625">
        <v>1</v>
      </c>
      <c r="R625" t="s">
        <v>1272</v>
      </c>
      <c r="S625" s="1" t="s">
        <v>1338</v>
      </c>
    </row>
    <row r="626" spans="1:19" hidden="1" x14ac:dyDescent="0.3">
      <c r="A626" t="s">
        <v>874</v>
      </c>
      <c r="B626" t="s">
        <v>875</v>
      </c>
      <c r="C626" t="s">
        <v>731</v>
      </c>
      <c r="D626">
        <v>12662</v>
      </c>
      <c r="E626" t="s">
        <v>313</v>
      </c>
      <c r="F626" t="s">
        <v>155</v>
      </c>
      <c r="G626" t="s">
        <v>314</v>
      </c>
      <c r="H626" t="s">
        <v>315</v>
      </c>
      <c r="I626" t="s">
        <v>31</v>
      </c>
      <c r="J626">
        <v>711</v>
      </c>
      <c r="K626" t="s">
        <v>316</v>
      </c>
      <c r="N626">
        <v>8</v>
      </c>
      <c r="O626">
        <v>0.37580000000000002</v>
      </c>
      <c r="P626" t="s">
        <v>38</v>
      </c>
      <c r="Q626">
        <v>2</v>
      </c>
      <c r="R626" t="s">
        <v>1272</v>
      </c>
      <c r="S626" s="1" t="s">
        <v>1280</v>
      </c>
    </row>
    <row r="627" spans="1:19" hidden="1" x14ac:dyDescent="0.3">
      <c r="A627" t="s">
        <v>874</v>
      </c>
      <c r="B627" t="s">
        <v>875</v>
      </c>
      <c r="C627" t="s">
        <v>731</v>
      </c>
      <c r="D627">
        <v>17785</v>
      </c>
      <c r="E627" t="s">
        <v>159</v>
      </c>
      <c r="F627" t="s">
        <v>160</v>
      </c>
      <c r="G627" t="s">
        <v>161</v>
      </c>
      <c r="H627" t="s">
        <v>162</v>
      </c>
      <c r="I627" t="s">
        <v>25</v>
      </c>
      <c r="J627">
        <v>935</v>
      </c>
      <c r="K627" t="s">
        <v>163</v>
      </c>
      <c r="L627">
        <v>8</v>
      </c>
      <c r="M627">
        <v>5.5822000000000003</v>
      </c>
      <c r="P627" t="s">
        <v>33</v>
      </c>
      <c r="Q627">
        <v>0</v>
      </c>
      <c r="R627" t="s">
        <v>1272</v>
      </c>
      <c r="S627" s="1" t="s">
        <v>1334</v>
      </c>
    </row>
    <row r="628" spans="1:19" hidden="1" x14ac:dyDescent="0.3">
      <c r="A628" t="s">
        <v>874</v>
      </c>
      <c r="B628" t="s">
        <v>875</v>
      </c>
      <c r="C628" t="s">
        <v>731</v>
      </c>
      <c r="D628">
        <v>16756</v>
      </c>
      <c r="E628" t="s">
        <v>764</v>
      </c>
      <c r="F628" t="s">
        <v>155</v>
      </c>
      <c r="G628" t="s">
        <v>235</v>
      </c>
      <c r="H628" t="s">
        <v>765</v>
      </c>
      <c r="I628" t="s">
        <v>25</v>
      </c>
      <c r="J628">
        <v>344</v>
      </c>
      <c r="K628" t="s">
        <v>766</v>
      </c>
      <c r="L628">
        <v>9</v>
      </c>
      <c r="M628">
        <v>5.1260000000000003</v>
      </c>
      <c r="P628" t="s">
        <v>33</v>
      </c>
      <c r="Q628">
        <v>1</v>
      </c>
      <c r="R628" t="s">
        <v>1272</v>
      </c>
      <c r="S628" t="s">
        <v>1338</v>
      </c>
    </row>
    <row r="629" spans="1:19" hidden="1" x14ac:dyDescent="0.3">
      <c r="A629" t="s">
        <v>874</v>
      </c>
      <c r="B629" t="s">
        <v>875</v>
      </c>
      <c r="C629" t="s">
        <v>731</v>
      </c>
      <c r="D629">
        <v>19312</v>
      </c>
      <c r="E629" t="s">
        <v>321</v>
      </c>
      <c r="F629" t="s">
        <v>322</v>
      </c>
      <c r="G629" t="s">
        <v>323</v>
      </c>
      <c r="H629" t="s">
        <v>324</v>
      </c>
      <c r="I629" t="s">
        <v>31</v>
      </c>
      <c r="J629">
        <v>2453</v>
      </c>
      <c r="K629" t="s">
        <v>325</v>
      </c>
      <c r="N629">
        <v>9</v>
      </c>
      <c r="O629">
        <v>0.3755</v>
      </c>
      <c r="P629" t="s">
        <v>38</v>
      </c>
      <c r="Q629">
        <v>0</v>
      </c>
      <c r="R629" t="s">
        <v>1272</v>
      </c>
      <c r="S629" s="1" t="s">
        <v>1334</v>
      </c>
    </row>
    <row r="630" spans="1:19" hidden="1" x14ac:dyDescent="0.3">
      <c r="A630" t="s">
        <v>874</v>
      </c>
      <c r="B630" t="s">
        <v>875</v>
      </c>
      <c r="C630" t="s">
        <v>731</v>
      </c>
      <c r="D630">
        <v>16859</v>
      </c>
      <c r="E630" t="s">
        <v>783</v>
      </c>
      <c r="F630" t="s">
        <v>22</v>
      </c>
      <c r="G630" t="s">
        <v>784</v>
      </c>
      <c r="H630" t="s">
        <v>785</v>
      </c>
      <c r="I630" t="s">
        <v>31</v>
      </c>
      <c r="J630">
        <v>890</v>
      </c>
      <c r="K630" t="s">
        <v>786</v>
      </c>
      <c r="N630">
        <v>10</v>
      </c>
      <c r="O630">
        <v>0.37280000000000002</v>
      </c>
      <c r="P630" t="s">
        <v>38</v>
      </c>
      <c r="Q630">
        <v>0</v>
      </c>
      <c r="R630" t="s">
        <v>1272</v>
      </c>
      <c r="S630" s="1" t="s">
        <v>1334</v>
      </c>
    </row>
    <row r="631" spans="1:19" hidden="1" x14ac:dyDescent="0.3">
      <c r="A631" t="s">
        <v>874</v>
      </c>
      <c r="B631" t="s">
        <v>875</v>
      </c>
      <c r="C631" t="s">
        <v>731</v>
      </c>
      <c r="D631">
        <v>19831</v>
      </c>
      <c r="E631" t="s">
        <v>880</v>
      </c>
      <c r="F631" t="s">
        <v>22</v>
      </c>
      <c r="G631" t="s">
        <v>806</v>
      </c>
      <c r="H631" t="s">
        <v>881</v>
      </c>
      <c r="I631" t="s">
        <v>31</v>
      </c>
      <c r="J631">
        <v>194</v>
      </c>
      <c r="K631" t="s">
        <v>882</v>
      </c>
      <c r="L631">
        <v>10</v>
      </c>
      <c r="M631">
        <v>5.0396999999999998</v>
      </c>
      <c r="P631" t="s">
        <v>33</v>
      </c>
      <c r="Q631">
        <v>1</v>
      </c>
      <c r="R631" t="s">
        <v>1272</v>
      </c>
      <c r="S631" s="1" t="s">
        <v>1338</v>
      </c>
    </row>
    <row r="632" spans="1:19" hidden="1" x14ac:dyDescent="0.3">
      <c r="A632" t="s">
        <v>883</v>
      </c>
      <c r="B632" t="s">
        <v>884</v>
      </c>
      <c r="C632" t="s">
        <v>731</v>
      </c>
      <c r="D632">
        <v>19312</v>
      </c>
      <c r="E632" t="s">
        <v>321</v>
      </c>
      <c r="F632" t="s">
        <v>322</v>
      </c>
      <c r="G632" t="s">
        <v>323</v>
      </c>
      <c r="H632" t="s">
        <v>324</v>
      </c>
      <c r="I632" t="s">
        <v>31</v>
      </c>
      <c r="J632">
        <v>2453</v>
      </c>
      <c r="K632" t="s">
        <v>325</v>
      </c>
      <c r="N632">
        <v>1</v>
      </c>
      <c r="O632">
        <v>0.45810000000000001</v>
      </c>
      <c r="P632" t="s">
        <v>38</v>
      </c>
      <c r="Q632">
        <v>1</v>
      </c>
      <c r="R632" t="s">
        <v>1272</v>
      </c>
      <c r="S632" s="1" t="s">
        <v>1338</v>
      </c>
    </row>
    <row r="633" spans="1:19" hidden="1" x14ac:dyDescent="0.3">
      <c r="A633" t="s">
        <v>883</v>
      </c>
      <c r="B633" t="s">
        <v>884</v>
      </c>
      <c r="C633" t="s">
        <v>731</v>
      </c>
      <c r="D633">
        <v>19982</v>
      </c>
      <c r="E633" t="s">
        <v>28</v>
      </c>
      <c r="F633" t="s">
        <v>22</v>
      </c>
      <c r="G633" t="s">
        <v>29</v>
      </c>
      <c r="H633" t="s">
        <v>30</v>
      </c>
      <c r="I633" t="s">
        <v>31</v>
      </c>
      <c r="J633">
        <v>543</v>
      </c>
      <c r="K633" t="s">
        <v>32</v>
      </c>
      <c r="L633">
        <v>1</v>
      </c>
      <c r="M633">
        <v>11.8735</v>
      </c>
      <c r="P633" t="s">
        <v>33</v>
      </c>
      <c r="Q633">
        <v>2</v>
      </c>
      <c r="R633" t="s">
        <v>1272</v>
      </c>
      <c r="S633" s="1" t="s">
        <v>1280</v>
      </c>
    </row>
    <row r="634" spans="1:19" hidden="1" x14ac:dyDescent="0.3">
      <c r="A634" t="s">
        <v>883</v>
      </c>
      <c r="B634" t="s">
        <v>884</v>
      </c>
      <c r="C634" t="s">
        <v>731</v>
      </c>
      <c r="D634">
        <v>8524</v>
      </c>
      <c r="E634" t="s">
        <v>676</v>
      </c>
      <c r="F634" t="s">
        <v>668</v>
      </c>
      <c r="G634" t="s">
        <v>677</v>
      </c>
      <c r="H634" t="s">
        <v>678</v>
      </c>
      <c r="I634" t="s">
        <v>25</v>
      </c>
      <c r="J634">
        <v>226</v>
      </c>
      <c r="K634" t="s">
        <v>679</v>
      </c>
      <c r="N634">
        <v>2</v>
      </c>
      <c r="O634">
        <v>0.45490000000000003</v>
      </c>
      <c r="P634" t="s">
        <v>38</v>
      </c>
      <c r="Q634">
        <v>2</v>
      </c>
      <c r="R634" t="s">
        <v>1272</v>
      </c>
      <c r="S634" s="1" t="s">
        <v>1280</v>
      </c>
    </row>
    <row r="635" spans="1:19" hidden="1" x14ac:dyDescent="0.3">
      <c r="A635" t="s">
        <v>883</v>
      </c>
      <c r="B635" t="s">
        <v>884</v>
      </c>
      <c r="C635" t="s">
        <v>731</v>
      </c>
      <c r="D635">
        <v>15839</v>
      </c>
      <c r="E635" t="s">
        <v>154</v>
      </c>
      <c r="F635" t="s">
        <v>155</v>
      </c>
      <c r="G635" t="s">
        <v>156</v>
      </c>
      <c r="H635" t="s">
        <v>157</v>
      </c>
      <c r="I635" t="s">
        <v>25</v>
      </c>
      <c r="J635">
        <v>298</v>
      </c>
      <c r="K635" t="s">
        <v>158</v>
      </c>
      <c r="L635">
        <v>2</v>
      </c>
      <c r="M635">
        <v>8.8131000000000004</v>
      </c>
      <c r="P635" t="s">
        <v>33</v>
      </c>
      <c r="Q635">
        <v>0</v>
      </c>
      <c r="R635" t="s">
        <v>1272</v>
      </c>
      <c r="S635" s="1" t="s">
        <v>1334</v>
      </c>
    </row>
    <row r="636" spans="1:19" hidden="1" x14ac:dyDescent="0.3">
      <c r="A636" t="s">
        <v>883</v>
      </c>
      <c r="B636" t="s">
        <v>884</v>
      </c>
      <c r="C636" t="s">
        <v>731</v>
      </c>
      <c r="D636">
        <v>16395</v>
      </c>
      <c r="E636" t="s">
        <v>657</v>
      </c>
      <c r="F636" t="s">
        <v>155</v>
      </c>
      <c r="G636" t="s">
        <v>658</v>
      </c>
      <c r="H636" t="s">
        <v>659</v>
      </c>
      <c r="I636" t="s">
        <v>25</v>
      </c>
      <c r="J636">
        <v>1358</v>
      </c>
      <c r="K636" t="s">
        <v>660</v>
      </c>
      <c r="N636">
        <v>3</v>
      </c>
      <c r="O636">
        <v>0.45490000000000003</v>
      </c>
      <c r="P636" t="s">
        <v>38</v>
      </c>
      <c r="Q636">
        <v>2</v>
      </c>
      <c r="R636" t="s">
        <v>1272</v>
      </c>
      <c r="S636" s="1" t="s">
        <v>1280</v>
      </c>
    </row>
    <row r="637" spans="1:19" hidden="1" x14ac:dyDescent="0.3">
      <c r="A637" t="s">
        <v>883</v>
      </c>
      <c r="B637" t="s">
        <v>884</v>
      </c>
      <c r="C637" t="s">
        <v>731</v>
      </c>
      <c r="D637">
        <v>19710</v>
      </c>
      <c r="E637" t="s">
        <v>199</v>
      </c>
      <c r="F637" t="s">
        <v>200</v>
      </c>
      <c r="G637" t="s">
        <v>201</v>
      </c>
      <c r="H637" t="s">
        <v>202</v>
      </c>
      <c r="I637" t="s">
        <v>31</v>
      </c>
      <c r="J637">
        <v>262</v>
      </c>
      <c r="K637" t="s">
        <v>203</v>
      </c>
      <c r="L637">
        <v>3</v>
      </c>
      <c r="M637">
        <v>8.0874000000000006</v>
      </c>
      <c r="P637" t="s">
        <v>33</v>
      </c>
      <c r="Q637">
        <v>2</v>
      </c>
      <c r="R637" t="s">
        <v>1272</v>
      </c>
      <c r="S637" s="1" t="s">
        <v>1280</v>
      </c>
    </row>
    <row r="638" spans="1:19" hidden="1" x14ac:dyDescent="0.3">
      <c r="A638" t="s">
        <v>883</v>
      </c>
      <c r="B638" t="s">
        <v>884</v>
      </c>
      <c r="C638" t="s">
        <v>731</v>
      </c>
      <c r="D638">
        <v>20595</v>
      </c>
      <c r="E638" t="s">
        <v>190</v>
      </c>
      <c r="F638" t="s">
        <v>191</v>
      </c>
      <c r="G638" t="s">
        <v>192</v>
      </c>
      <c r="H638" t="s">
        <v>193</v>
      </c>
      <c r="I638" t="s">
        <v>25</v>
      </c>
      <c r="J638">
        <v>2941</v>
      </c>
      <c r="K638" t="s">
        <v>194</v>
      </c>
      <c r="N638">
        <v>4</v>
      </c>
      <c r="O638">
        <v>0.44519999999999998</v>
      </c>
      <c r="P638" t="s">
        <v>38</v>
      </c>
      <c r="Q638">
        <v>2</v>
      </c>
      <c r="R638" t="s">
        <v>1272</v>
      </c>
      <c r="S638" s="1" t="s">
        <v>1280</v>
      </c>
    </row>
    <row r="639" spans="1:19" hidden="1" x14ac:dyDescent="0.3">
      <c r="A639" t="s">
        <v>883</v>
      </c>
      <c r="B639" t="s">
        <v>884</v>
      </c>
      <c r="C639" t="s">
        <v>731</v>
      </c>
      <c r="D639">
        <v>20789</v>
      </c>
      <c r="E639" t="s">
        <v>39</v>
      </c>
      <c r="F639" t="s">
        <v>40</v>
      </c>
      <c r="G639" t="s">
        <v>41</v>
      </c>
      <c r="H639" t="s">
        <v>42</v>
      </c>
      <c r="I639" t="s">
        <v>25</v>
      </c>
      <c r="J639">
        <v>810</v>
      </c>
      <c r="K639" t="s">
        <v>43</v>
      </c>
      <c r="L639">
        <v>4</v>
      </c>
      <c r="M639">
        <v>7.7617000000000003</v>
      </c>
      <c r="P639" t="s">
        <v>33</v>
      </c>
      <c r="Q639">
        <v>1</v>
      </c>
      <c r="R639" t="s">
        <v>1272</v>
      </c>
      <c r="S639" s="1" t="s">
        <v>1338</v>
      </c>
    </row>
    <row r="640" spans="1:19" hidden="1" x14ac:dyDescent="0.3">
      <c r="A640" t="s">
        <v>883</v>
      </c>
      <c r="B640" t="s">
        <v>884</v>
      </c>
      <c r="C640" t="s">
        <v>731</v>
      </c>
      <c r="D640">
        <v>10730</v>
      </c>
      <c r="E640" t="s">
        <v>317</v>
      </c>
      <c r="F640" t="s">
        <v>60</v>
      </c>
      <c r="G640" t="s">
        <v>318</v>
      </c>
      <c r="H640" t="s">
        <v>319</v>
      </c>
      <c r="I640" t="s">
        <v>25</v>
      </c>
      <c r="J640">
        <v>800</v>
      </c>
      <c r="K640" t="s">
        <v>320</v>
      </c>
      <c r="L640">
        <v>5</v>
      </c>
      <c r="M640">
        <v>6.0178000000000003</v>
      </c>
      <c r="P640" t="s">
        <v>33</v>
      </c>
      <c r="Q640">
        <v>1</v>
      </c>
      <c r="R640" t="s">
        <v>1272</v>
      </c>
      <c r="S640" s="1" t="s">
        <v>1338</v>
      </c>
    </row>
    <row r="641" spans="1:19" hidden="1" x14ac:dyDescent="0.3">
      <c r="A641" t="s">
        <v>883</v>
      </c>
      <c r="B641" t="s">
        <v>884</v>
      </c>
      <c r="C641" t="s">
        <v>731</v>
      </c>
      <c r="D641">
        <v>15013</v>
      </c>
      <c r="E641" t="s">
        <v>59</v>
      </c>
      <c r="F641" t="s">
        <v>60</v>
      </c>
      <c r="G641" t="s">
        <v>61</v>
      </c>
      <c r="H641" t="s">
        <v>62</v>
      </c>
      <c r="I641" t="s">
        <v>25</v>
      </c>
      <c r="J641">
        <v>550</v>
      </c>
      <c r="K641" t="s">
        <v>63</v>
      </c>
      <c r="N641">
        <v>5</v>
      </c>
      <c r="O641">
        <v>0.44280000000000003</v>
      </c>
      <c r="P641" t="s">
        <v>38</v>
      </c>
      <c r="Q641">
        <v>1</v>
      </c>
      <c r="R641" t="s">
        <v>1272</v>
      </c>
      <c r="S641" s="1" t="s">
        <v>1338</v>
      </c>
    </row>
    <row r="642" spans="1:19" hidden="1" x14ac:dyDescent="0.3">
      <c r="A642" t="s">
        <v>883</v>
      </c>
      <c r="B642" t="s">
        <v>884</v>
      </c>
      <c r="C642" t="s">
        <v>731</v>
      </c>
      <c r="D642">
        <v>541</v>
      </c>
      <c r="E642" t="s">
        <v>170</v>
      </c>
      <c r="F642" t="s">
        <v>155</v>
      </c>
      <c r="G642" t="s">
        <v>171</v>
      </c>
      <c r="H642" t="s">
        <v>172</v>
      </c>
      <c r="I642" t="s">
        <v>25</v>
      </c>
      <c r="J642">
        <v>738</v>
      </c>
      <c r="K642" t="s">
        <v>173</v>
      </c>
      <c r="L642">
        <v>6</v>
      </c>
      <c r="M642">
        <v>5.4478</v>
      </c>
      <c r="P642" t="s">
        <v>33</v>
      </c>
      <c r="Q642">
        <v>0</v>
      </c>
      <c r="R642" t="s">
        <v>1272</v>
      </c>
      <c r="S642" s="1" t="s">
        <v>1334</v>
      </c>
    </row>
    <row r="643" spans="1:19" hidden="1" x14ac:dyDescent="0.3">
      <c r="A643" t="s">
        <v>883</v>
      </c>
      <c r="B643" t="s">
        <v>884</v>
      </c>
      <c r="C643" t="s">
        <v>731</v>
      </c>
      <c r="D643">
        <v>12188</v>
      </c>
      <c r="E643" t="s">
        <v>680</v>
      </c>
      <c r="F643" t="s">
        <v>668</v>
      </c>
      <c r="G643" t="s">
        <v>681</v>
      </c>
      <c r="H643" t="s">
        <v>682</v>
      </c>
      <c r="I643" t="s">
        <v>31</v>
      </c>
      <c r="J643">
        <v>637</v>
      </c>
      <c r="K643" t="s">
        <v>683</v>
      </c>
      <c r="N643">
        <v>6</v>
      </c>
      <c r="O643">
        <v>0.4274</v>
      </c>
      <c r="P643" t="s">
        <v>38</v>
      </c>
      <c r="Q643">
        <v>2</v>
      </c>
      <c r="R643" t="s">
        <v>1272</v>
      </c>
      <c r="S643" s="1" t="s">
        <v>1280</v>
      </c>
    </row>
    <row r="644" spans="1:19" hidden="1" x14ac:dyDescent="0.3">
      <c r="A644" t="s">
        <v>883</v>
      </c>
      <c r="B644" t="s">
        <v>884</v>
      </c>
      <c r="C644" t="s">
        <v>731</v>
      </c>
      <c r="D644">
        <v>6637</v>
      </c>
      <c r="E644" t="s">
        <v>735</v>
      </c>
      <c r="F644" t="s">
        <v>60</v>
      </c>
      <c r="G644" t="s">
        <v>736</v>
      </c>
      <c r="H644" t="s">
        <v>737</v>
      </c>
      <c r="I644" t="s">
        <v>25</v>
      </c>
      <c r="J644">
        <v>1382</v>
      </c>
      <c r="K644" t="s">
        <v>738</v>
      </c>
      <c r="N644">
        <v>7</v>
      </c>
      <c r="O644">
        <v>0.42699999999999999</v>
      </c>
      <c r="P644" t="s">
        <v>38</v>
      </c>
      <c r="Q644">
        <v>1</v>
      </c>
      <c r="R644" t="s">
        <v>1272</v>
      </c>
      <c r="S644" s="1" t="s">
        <v>1338</v>
      </c>
    </row>
    <row r="645" spans="1:19" hidden="1" x14ac:dyDescent="0.3">
      <c r="A645" t="s">
        <v>883</v>
      </c>
      <c r="B645" t="s">
        <v>884</v>
      </c>
      <c r="C645" t="s">
        <v>731</v>
      </c>
      <c r="D645">
        <v>20776</v>
      </c>
      <c r="E645" t="s">
        <v>739</v>
      </c>
      <c r="F645" t="s">
        <v>740</v>
      </c>
      <c r="G645" t="s">
        <v>741</v>
      </c>
      <c r="H645" t="s">
        <v>742</v>
      </c>
      <c r="I645" t="s">
        <v>31</v>
      </c>
      <c r="J645">
        <v>386</v>
      </c>
      <c r="K645" t="s">
        <v>743</v>
      </c>
      <c r="L645">
        <v>7</v>
      </c>
      <c r="M645">
        <v>5.3939000000000004</v>
      </c>
      <c r="P645" t="s">
        <v>33</v>
      </c>
      <c r="Q645">
        <v>0</v>
      </c>
      <c r="R645" t="s">
        <v>1272</v>
      </c>
      <c r="S645" s="1" t="s">
        <v>1334</v>
      </c>
    </row>
    <row r="646" spans="1:19" hidden="1" x14ac:dyDescent="0.3">
      <c r="A646" t="s">
        <v>883</v>
      </c>
      <c r="B646" t="s">
        <v>884</v>
      </c>
      <c r="C646" t="s">
        <v>731</v>
      </c>
      <c r="D646">
        <v>16792</v>
      </c>
      <c r="E646" t="s">
        <v>437</v>
      </c>
      <c r="F646" t="s">
        <v>60</v>
      </c>
      <c r="G646" t="s">
        <v>438</v>
      </c>
      <c r="H646" t="s">
        <v>439</v>
      </c>
      <c r="I646" t="s">
        <v>31</v>
      </c>
      <c r="J646">
        <v>1231</v>
      </c>
      <c r="K646" t="s">
        <v>440</v>
      </c>
      <c r="N646">
        <v>8</v>
      </c>
      <c r="O646">
        <v>0.42680000000000001</v>
      </c>
      <c r="P646" t="s">
        <v>38</v>
      </c>
      <c r="Q646">
        <v>1</v>
      </c>
      <c r="R646" t="s">
        <v>1272</v>
      </c>
      <c r="S646" s="1" t="s">
        <v>1338</v>
      </c>
    </row>
    <row r="647" spans="1:19" hidden="1" x14ac:dyDescent="0.3">
      <c r="A647" t="s">
        <v>883</v>
      </c>
      <c r="B647" t="s">
        <v>884</v>
      </c>
      <c r="C647" t="s">
        <v>731</v>
      </c>
      <c r="D647">
        <v>20185</v>
      </c>
      <c r="E647" t="s">
        <v>885</v>
      </c>
      <c r="F647" t="s">
        <v>842</v>
      </c>
      <c r="G647" t="s">
        <v>886</v>
      </c>
      <c r="H647" t="s">
        <v>887</v>
      </c>
      <c r="I647" t="s">
        <v>31</v>
      </c>
      <c r="J647">
        <v>674</v>
      </c>
      <c r="K647" t="s">
        <v>888</v>
      </c>
      <c r="L647">
        <v>8</v>
      </c>
      <c r="M647">
        <v>5.2203999999999997</v>
      </c>
      <c r="N647">
        <v>9</v>
      </c>
      <c r="O647">
        <v>0.42480000000000001</v>
      </c>
      <c r="P647" t="s">
        <v>27</v>
      </c>
      <c r="Q647">
        <v>2</v>
      </c>
      <c r="R647" t="s">
        <v>1272</v>
      </c>
      <c r="S647" s="1" t="s">
        <v>1280</v>
      </c>
    </row>
    <row r="648" spans="1:19" hidden="1" x14ac:dyDescent="0.3">
      <c r="A648" t="s">
        <v>883</v>
      </c>
      <c r="B648" t="s">
        <v>884</v>
      </c>
      <c r="C648" t="s">
        <v>731</v>
      </c>
      <c r="D648">
        <v>14198</v>
      </c>
      <c r="E648" t="s">
        <v>73</v>
      </c>
      <c r="F648" t="s">
        <v>74</v>
      </c>
      <c r="G648" t="s">
        <v>75</v>
      </c>
      <c r="H648" t="s">
        <v>76</v>
      </c>
      <c r="I648" t="s">
        <v>31</v>
      </c>
      <c r="J648">
        <v>377</v>
      </c>
      <c r="K648" t="s">
        <v>77</v>
      </c>
      <c r="L648">
        <v>9</v>
      </c>
      <c r="M648">
        <v>5.1509</v>
      </c>
      <c r="P648" t="s">
        <v>33</v>
      </c>
      <c r="Q648">
        <v>2</v>
      </c>
      <c r="R648" t="s">
        <v>1272</v>
      </c>
      <c r="S648" s="1" t="s">
        <v>1280</v>
      </c>
    </row>
    <row r="649" spans="1:19" hidden="1" x14ac:dyDescent="0.3">
      <c r="A649" t="s">
        <v>883</v>
      </c>
      <c r="B649" t="s">
        <v>884</v>
      </c>
      <c r="C649" t="s">
        <v>731</v>
      </c>
      <c r="D649">
        <v>18937</v>
      </c>
      <c r="E649" t="s">
        <v>68</v>
      </c>
      <c r="F649" t="s">
        <v>69</v>
      </c>
      <c r="G649" t="s">
        <v>70</v>
      </c>
      <c r="H649" t="s">
        <v>71</v>
      </c>
      <c r="I649" t="s">
        <v>31</v>
      </c>
      <c r="J649">
        <v>3317</v>
      </c>
      <c r="K649" t="s">
        <v>72</v>
      </c>
      <c r="L649">
        <v>10</v>
      </c>
      <c r="M649">
        <v>4.9728000000000003</v>
      </c>
      <c r="P649" t="s">
        <v>33</v>
      </c>
      <c r="Q649">
        <v>2</v>
      </c>
      <c r="R649" t="s">
        <v>1272</v>
      </c>
      <c r="S649" s="1" t="s">
        <v>1280</v>
      </c>
    </row>
    <row r="650" spans="1:19" hidden="1" x14ac:dyDescent="0.3">
      <c r="A650" t="s">
        <v>883</v>
      </c>
      <c r="B650" t="s">
        <v>884</v>
      </c>
      <c r="C650" t="s">
        <v>731</v>
      </c>
      <c r="D650">
        <v>20259</v>
      </c>
      <c r="E650" t="s">
        <v>49</v>
      </c>
      <c r="F650" t="s">
        <v>50</v>
      </c>
      <c r="G650" t="s">
        <v>51</v>
      </c>
      <c r="H650" t="s">
        <v>52</v>
      </c>
      <c r="I650" t="s">
        <v>25</v>
      </c>
      <c r="J650">
        <v>313</v>
      </c>
      <c r="K650" t="s">
        <v>53</v>
      </c>
      <c r="N650">
        <v>10</v>
      </c>
      <c r="O650">
        <v>0.42430000000000001</v>
      </c>
      <c r="P650" t="s">
        <v>38</v>
      </c>
      <c r="Q650">
        <v>0</v>
      </c>
      <c r="R650" t="s">
        <v>1272</v>
      </c>
      <c r="S650" s="1" t="s">
        <v>1334</v>
      </c>
    </row>
    <row r="651" spans="1:19" hidden="1" x14ac:dyDescent="0.3">
      <c r="A651" t="s">
        <v>889</v>
      </c>
      <c r="B651" t="s">
        <v>890</v>
      </c>
      <c r="C651" t="s">
        <v>731</v>
      </c>
      <c r="D651">
        <v>8524</v>
      </c>
      <c r="E651" t="s">
        <v>676</v>
      </c>
      <c r="F651" t="s">
        <v>668</v>
      </c>
      <c r="G651" t="s">
        <v>677</v>
      </c>
      <c r="H651" t="s">
        <v>678</v>
      </c>
      <c r="I651" t="s">
        <v>25</v>
      </c>
      <c r="J651">
        <v>226</v>
      </c>
      <c r="K651" t="s">
        <v>679</v>
      </c>
      <c r="N651">
        <v>1</v>
      </c>
      <c r="O651">
        <v>0.45250000000000001</v>
      </c>
      <c r="P651" t="s">
        <v>38</v>
      </c>
      <c r="Q651">
        <v>1</v>
      </c>
      <c r="R651" t="s">
        <v>1272</v>
      </c>
      <c r="S651" s="1" t="s">
        <v>1338</v>
      </c>
    </row>
    <row r="652" spans="1:19" hidden="1" x14ac:dyDescent="0.3">
      <c r="A652" t="s">
        <v>889</v>
      </c>
      <c r="B652" t="s">
        <v>890</v>
      </c>
      <c r="C652" t="s">
        <v>731</v>
      </c>
      <c r="D652">
        <v>14198</v>
      </c>
      <c r="E652" t="s">
        <v>73</v>
      </c>
      <c r="F652" t="s">
        <v>74</v>
      </c>
      <c r="G652" t="s">
        <v>75</v>
      </c>
      <c r="H652" t="s">
        <v>76</v>
      </c>
      <c r="I652" t="s">
        <v>31</v>
      </c>
      <c r="J652">
        <v>377</v>
      </c>
      <c r="K652" t="s">
        <v>77</v>
      </c>
      <c r="L652">
        <v>1</v>
      </c>
      <c r="M652">
        <v>16.428599999999999</v>
      </c>
      <c r="P652" t="s">
        <v>33</v>
      </c>
      <c r="Q652">
        <v>1</v>
      </c>
      <c r="R652" t="s">
        <v>1272</v>
      </c>
      <c r="S652" s="1" t="s">
        <v>1338</v>
      </c>
    </row>
    <row r="653" spans="1:19" hidden="1" x14ac:dyDescent="0.3">
      <c r="A653" t="s">
        <v>889</v>
      </c>
      <c r="B653" t="s">
        <v>890</v>
      </c>
      <c r="C653" t="s">
        <v>731</v>
      </c>
      <c r="D653">
        <v>171</v>
      </c>
      <c r="E653" t="s">
        <v>102</v>
      </c>
      <c r="F653" t="s">
        <v>103</v>
      </c>
      <c r="G653" t="s">
        <v>104</v>
      </c>
      <c r="H653" t="s">
        <v>105</v>
      </c>
      <c r="I653" t="s">
        <v>31</v>
      </c>
      <c r="J653">
        <v>474</v>
      </c>
      <c r="K653" t="s">
        <v>106</v>
      </c>
      <c r="N653">
        <v>2</v>
      </c>
      <c r="O653">
        <v>0.42780000000000001</v>
      </c>
      <c r="P653" t="s">
        <v>38</v>
      </c>
      <c r="Q653">
        <v>1</v>
      </c>
      <c r="R653" t="s">
        <v>1272</v>
      </c>
      <c r="S653" s="1" t="s">
        <v>1338</v>
      </c>
    </row>
    <row r="654" spans="1:19" hidden="1" x14ac:dyDescent="0.3">
      <c r="A654" t="s">
        <v>889</v>
      </c>
      <c r="B654" t="s">
        <v>890</v>
      </c>
      <c r="C654" t="s">
        <v>731</v>
      </c>
      <c r="D654">
        <v>12820</v>
      </c>
      <c r="E654" t="s">
        <v>891</v>
      </c>
      <c r="F654" t="s">
        <v>74</v>
      </c>
      <c r="G654" t="s">
        <v>892</v>
      </c>
      <c r="H654" t="s">
        <v>893</v>
      </c>
      <c r="I654" t="s">
        <v>25</v>
      </c>
      <c r="J654">
        <v>523</v>
      </c>
      <c r="K654" t="s">
        <v>894</v>
      </c>
      <c r="L654">
        <v>2</v>
      </c>
      <c r="M654">
        <v>12.5754</v>
      </c>
      <c r="P654" t="s">
        <v>33</v>
      </c>
      <c r="Q654">
        <v>2</v>
      </c>
      <c r="R654" t="s">
        <v>1272</v>
      </c>
      <c r="S654" s="1" t="s">
        <v>1280</v>
      </c>
    </row>
    <row r="655" spans="1:19" hidden="1" x14ac:dyDescent="0.3">
      <c r="A655" t="s">
        <v>889</v>
      </c>
      <c r="B655" t="s">
        <v>890</v>
      </c>
      <c r="C655" t="s">
        <v>731</v>
      </c>
      <c r="D655">
        <v>5138</v>
      </c>
      <c r="E655" t="s">
        <v>870</v>
      </c>
      <c r="F655" t="s">
        <v>60</v>
      </c>
      <c r="G655" t="s">
        <v>871</v>
      </c>
      <c r="H655" t="s">
        <v>872</v>
      </c>
      <c r="I655" t="s">
        <v>25</v>
      </c>
      <c r="J655">
        <v>475</v>
      </c>
      <c r="K655" t="s">
        <v>873</v>
      </c>
      <c r="L655">
        <v>3</v>
      </c>
      <c r="M655">
        <v>12.450900000000001</v>
      </c>
      <c r="P655" t="s">
        <v>33</v>
      </c>
      <c r="Q655">
        <v>1</v>
      </c>
      <c r="R655" t="s">
        <v>1272</v>
      </c>
      <c r="S655" s="1" t="s">
        <v>1338</v>
      </c>
    </row>
    <row r="656" spans="1:19" hidden="1" x14ac:dyDescent="0.3">
      <c r="A656" t="s">
        <v>889</v>
      </c>
      <c r="B656" t="s">
        <v>890</v>
      </c>
      <c r="C656" t="s">
        <v>731</v>
      </c>
      <c r="D656">
        <v>20799</v>
      </c>
      <c r="E656" t="s">
        <v>493</v>
      </c>
      <c r="F656" t="s">
        <v>494</v>
      </c>
      <c r="G656" t="s">
        <v>495</v>
      </c>
      <c r="H656" t="s">
        <v>496</v>
      </c>
      <c r="I656" t="s">
        <v>25</v>
      </c>
      <c r="J656">
        <v>575</v>
      </c>
      <c r="K656" t="s">
        <v>497</v>
      </c>
      <c r="N656">
        <v>3</v>
      </c>
      <c r="O656">
        <v>0.42759999999999998</v>
      </c>
      <c r="P656" t="s">
        <v>38</v>
      </c>
      <c r="Q656">
        <v>2</v>
      </c>
      <c r="R656" t="s">
        <v>1272</v>
      </c>
      <c r="S656" s="1" t="s">
        <v>1280</v>
      </c>
    </row>
    <row r="657" spans="1:19" hidden="1" x14ac:dyDescent="0.3">
      <c r="A657" t="s">
        <v>889</v>
      </c>
      <c r="B657" t="s">
        <v>890</v>
      </c>
      <c r="C657" t="s">
        <v>731</v>
      </c>
      <c r="D657">
        <v>18885</v>
      </c>
      <c r="E657" t="s">
        <v>86</v>
      </c>
      <c r="F657" t="s">
        <v>60</v>
      </c>
      <c r="G657" t="s">
        <v>87</v>
      </c>
      <c r="H657" t="s">
        <v>88</v>
      </c>
      <c r="I657" t="s">
        <v>31</v>
      </c>
      <c r="J657">
        <v>596</v>
      </c>
      <c r="K657" t="s">
        <v>89</v>
      </c>
      <c r="N657">
        <v>4</v>
      </c>
      <c r="O657">
        <v>0.42049999999999998</v>
      </c>
      <c r="P657" t="s">
        <v>38</v>
      </c>
      <c r="Q657">
        <v>2</v>
      </c>
      <c r="R657" t="s">
        <v>1272</v>
      </c>
      <c r="S657" s="1" t="s">
        <v>1280</v>
      </c>
    </row>
    <row r="658" spans="1:19" hidden="1" x14ac:dyDescent="0.3">
      <c r="A658" t="s">
        <v>889</v>
      </c>
      <c r="B658" t="s">
        <v>890</v>
      </c>
      <c r="C658" t="s">
        <v>731</v>
      </c>
      <c r="D658">
        <v>20772</v>
      </c>
      <c r="E658" t="s">
        <v>292</v>
      </c>
      <c r="F658" t="s">
        <v>293</v>
      </c>
      <c r="G658" t="s">
        <v>41</v>
      </c>
      <c r="H658" t="s">
        <v>294</v>
      </c>
      <c r="I658" t="s">
        <v>25</v>
      </c>
      <c r="J658">
        <v>787</v>
      </c>
      <c r="K658" t="s">
        <v>295</v>
      </c>
      <c r="L658">
        <v>4</v>
      </c>
      <c r="M658">
        <v>12.155099999999999</v>
      </c>
      <c r="P658" t="s">
        <v>33</v>
      </c>
      <c r="Q658">
        <v>1</v>
      </c>
      <c r="R658" t="s">
        <v>1272</v>
      </c>
      <c r="S658" s="1" t="s">
        <v>1338</v>
      </c>
    </row>
    <row r="659" spans="1:19" hidden="1" x14ac:dyDescent="0.3">
      <c r="A659" t="s">
        <v>889</v>
      </c>
      <c r="B659" t="s">
        <v>890</v>
      </c>
      <c r="C659" t="s">
        <v>731</v>
      </c>
      <c r="D659">
        <v>12428</v>
      </c>
      <c r="E659" t="s">
        <v>850</v>
      </c>
      <c r="F659" t="s">
        <v>74</v>
      </c>
      <c r="G659" t="s">
        <v>151</v>
      </c>
      <c r="H659" t="s">
        <v>851</v>
      </c>
      <c r="I659" t="s">
        <v>31</v>
      </c>
      <c r="J659">
        <v>891</v>
      </c>
      <c r="K659" t="s">
        <v>852</v>
      </c>
      <c r="N659">
        <v>5</v>
      </c>
      <c r="O659">
        <v>0.42030000000000001</v>
      </c>
      <c r="P659" t="s">
        <v>38</v>
      </c>
      <c r="Q659">
        <v>1</v>
      </c>
      <c r="R659" t="s">
        <v>1272</v>
      </c>
      <c r="S659" s="1" t="s">
        <v>1338</v>
      </c>
    </row>
    <row r="660" spans="1:19" hidden="1" x14ac:dyDescent="0.3">
      <c r="A660" t="s">
        <v>889</v>
      </c>
      <c r="B660" t="s">
        <v>890</v>
      </c>
      <c r="C660" t="s">
        <v>731</v>
      </c>
      <c r="D660">
        <v>17994</v>
      </c>
      <c r="E660" t="s">
        <v>895</v>
      </c>
      <c r="F660" t="s">
        <v>60</v>
      </c>
      <c r="G660" t="s">
        <v>896</v>
      </c>
      <c r="H660" t="s">
        <v>897</v>
      </c>
      <c r="I660" t="s">
        <v>31</v>
      </c>
      <c r="J660">
        <v>624</v>
      </c>
      <c r="K660" t="s">
        <v>898</v>
      </c>
      <c r="L660">
        <v>5</v>
      </c>
      <c r="M660">
        <v>12.049300000000001</v>
      </c>
      <c r="P660" t="s">
        <v>33</v>
      </c>
      <c r="Q660">
        <v>1</v>
      </c>
      <c r="R660" t="s">
        <v>1272</v>
      </c>
      <c r="S660" s="1" t="s">
        <v>1338</v>
      </c>
    </row>
    <row r="661" spans="1:19" hidden="1" x14ac:dyDescent="0.3">
      <c r="A661" t="s">
        <v>889</v>
      </c>
      <c r="B661" t="s">
        <v>890</v>
      </c>
      <c r="C661" t="s">
        <v>731</v>
      </c>
      <c r="D661">
        <v>16537</v>
      </c>
      <c r="E661" t="s">
        <v>899</v>
      </c>
      <c r="F661" t="s">
        <v>22</v>
      </c>
      <c r="G661" t="s">
        <v>822</v>
      </c>
      <c r="H661" t="s">
        <v>900</v>
      </c>
      <c r="I661" t="s">
        <v>31</v>
      </c>
      <c r="J661">
        <v>712</v>
      </c>
      <c r="K661" t="s">
        <v>901</v>
      </c>
      <c r="N661">
        <v>6</v>
      </c>
      <c r="O661">
        <v>0.42020000000000002</v>
      </c>
      <c r="P661" t="s">
        <v>38</v>
      </c>
      <c r="Q661">
        <v>1</v>
      </c>
      <c r="R661" t="s">
        <v>1272</v>
      </c>
      <c r="S661" s="1" t="s">
        <v>1338</v>
      </c>
    </row>
    <row r="662" spans="1:19" hidden="1" x14ac:dyDescent="0.3">
      <c r="A662" t="s">
        <v>889</v>
      </c>
      <c r="B662" t="s">
        <v>890</v>
      </c>
      <c r="C662" t="s">
        <v>731</v>
      </c>
      <c r="D662">
        <v>18454</v>
      </c>
      <c r="E662" t="s">
        <v>704</v>
      </c>
      <c r="F662" t="s">
        <v>705</v>
      </c>
      <c r="G662" t="s">
        <v>706</v>
      </c>
      <c r="H662" t="s">
        <v>707</v>
      </c>
      <c r="I662" t="s">
        <v>31</v>
      </c>
      <c r="J662">
        <v>2302</v>
      </c>
      <c r="K662" t="s">
        <v>708</v>
      </c>
      <c r="L662">
        <v>6</v>
      </c>
      <c r="M662">
        <v>12.023400000000001</v>
      </c>
      <c r="P662" t="s">
        <v>33</v>
      </c>
      <c r="Q662">
        <v>1</v>
      </c>
      <c r="R662" t="s">
        <v>1272</v>
      </c>
      <c r="S662" s="1" t="s">
        <v>1338</v>
      </c>
    </row>
    <row r="663" spans="1:19" hidden="1" x14ac:dyDescent="0.3">
      <c r="A663" t="s">
        <v>889</v>
      </c>
      <c r="B663" t="s">
        <v>890</v>
      </c>
      <c r="C663" t="s">
        <v>731</v>
      </c>
      <c r="D663">
        <v>12188</v>
      </c>
      <c r="E663" t="s">
        <v>680</v>
      </c>
      <c r="F663" t="s">
        <v>668</v>
      </c>
      <c r="G663" t="s">
        <v>681</v>
      </c>
      <c r="H663" t="s">
        <v>682</v>
      </c>
      <c r="I663" t="s">
        <v>31</v>
      </c>
      <c r="J663">
        <v>637</v>
      </c>
      <c r="K663" t="s">
        <v>683</v>
      </c>
      <c r="N663">
        <v>7</v>
      </c>
      <c r="O663">
        <v>0.4199</v>
      </c>
      <c r="P663" t="s">
        <v>38</v>
      </c>
      <c r="Q663">
        <v>1</v>
      </c>
      <c r="R663" t="s">
        <v>1272</v>
      </c>
      <c r="S663" s="1" t="s">
        <v>1338</v>
      </c>
    </row>
    <row r="664" spans="1:19" hidden="1" x14ac:dyDescent="0.3">
      <c r="A664" t="s">
        <v>889</v>
      </c>
      <c r="B664" t="s">
        <v>890</v>
      </c>
      <c r="C664" t="s">
        <v>731</v>
      </c>
      <c r="D664">
        <v>18853</v>
      </c>
      <c r="E664" t="s">
        <v>714</v>
      </c>
      <c r="F664" t="s">
        <v>715</v>
      </c>
      <c r="G664" t="s">
        <v>41</v>
      </c>
      <c r="H664" t="s">
        <v>716</v>
      </c>
      <c r="I664" t="s">
        <v>25</v>
      </c>
      <c r="J664">
        <v>540</v>
      </c>
      <c r="K664" t="s">
        <v>717</v>
      </c>
      <c r="L664">
        <v>7</v>
      </c>
      <c r="M664">
        <v>11.8284</v>
      </c>
      <c r="P664" t="s">
        <v>33</v>
      </c>
      <c r="Q664">
        <v>1</v>
      </c>
      <c r="R664" t="s">
        <v>1272</v>
      </c>
      <c r="S664" s="1" t="s">
        <v>1338</v>
      </c>
    </row>
    <row r="665" spans="1:19" hidden="1" x14ac:dyDescent="0.3">
      <c r="A665" t="s">
        <v>889</v>
      </c>
      <c r="B665" t="s">
        <v>890</v>
      </c>
      <c r="C665" t="s">
        <v>731</v>
      </c>
      <c r="D665">
        <v>127</v>
      </c>
      <c r="E665" t="s">
        <v>902</v>
      </c>
      <c r="F665" t="s">
        <v>22</v>
      </c>
      <c r="G665" t="s">
        <v>903</v>
      </c>
      <c r="H665" t="s">
        <v>904</v>
      </c>
      <c r="I665" t="s">
        <v>25</v>
      </c>
      <c r="J665">
        <v>1919</v>
      </c>
      <c r="K665" t="s">
        <v>905</v>
      </c>
      <c r="L665">
        <v>8</v>
      </c>
      <c r="M665">
        <v>11.816800000000001</v>
      </c>
      <c r="P665" t="s">
        <v>33</v>
      </c>
      <c r="Q665">
        <v>1</v>
      </c>
      <c r="R665" t="s">
        <v>1272</v>
      </c>
      <c r="S665" s="1" t="s">
        <v>1338</v>
      </c>
    </row>
    <row r="666" spans="1:19" hidden="1" x14ac:dyDescent="0.3">
      <c r="A666" t="s">
        <v>889</v>
      </c>
      <c r="B666" t="s">
        <v>890</v>
      </c>
      <c r="C666" t="s">
        <v>731</v>
      </c>
      <c r="D666">
        <v>20259</v>
      </c>
      <c r="E666" t="s">
        <v>49</v>
      </c>
      <c r="F666" t="s">
        <v>50</v>
      </c>
      <c r="G666" t="s">
        <v>51</v>
      </c>
      <c r="H666" t="s">
        <v>52</v>
      </c>
      <c r="I666" t="s">
        <v>25</v>
      </c>
      <c r="J666">
        <v>313</v>
      </c>
      <c r="K666" t="s">
        <v>53</v>
      </c>
      <c r="N666">
        <v>8</v>
      </c>
      <c r="O666">
        <v>0.41770000000000002</v>
      </c>
      <c r="P666" t="s">
        <v>38</v>
      </c>
      <c r="Q666">
        <v>1</v>
      </c>
      <c r="R666" t="s">
        <v>1272</v>
      </c>
      <c r="S666" s="1" t="s">
        <v>1338</v>
      </c>
    </row>
    <row r="667" spans="1:19" hidden="1" x14ac:dyDescent="0.3">
      <c r="A667" t="s">
        <v>889</v>
      </c>
      <c r="B667" t="s">
        <v>890</v>
      </c>
      <c r="C667" t="s">
        <v>731</v>
      </c>
      <c r="D667">
        <v>13183</v>
      </c>
      <c r="E667" t="s">
        <v>777</v>
      </c>
      <c r="F667" t="s">
        <v>60</v>
      </c>
      <c r="G667" t="s">
        <v>778</v>
      </c>
      <c r="H667" t="s">
        <v>779</v>
      </c>
      <c r="I667" t="s">
        <v>31</v>
      </c>
      <c r="J667">
        <v>1373</v>
      </c>
      <c r="K667" t="s">
        <v>780</v>
      </c>
      <c r="N667">
        <v>9</v>
      </c>
      <c r="O667">
        <v>0.41660000000000003</v>
      </c>
      <c r="P667" t="s">
        <v>38</v>
      </c>
      <c r="Q667">
        <v>1</v>
      </c>
      <c r="R667" t="s">
        <v>1272</v>
      </c>
      <c r="S667" s="1" t="s">
        <v>1338</v>
      </c>
    </row>
    <row r="668" spans="1:19" hidden="1" x14ac:dyDescent="0.3">
      <c r="A668" t="s">
        <v>889</v>
      </c>
      <c r="B668" t="s">
        <v>890</v>
      </c>
      <c r="C668" t="s">
        <v>731</v>
      </c>
      <c r="D668">
        <v>15905</v>
      </c>
      <c r="E668" t="s">
        <v>262</v>
      </c>
      <c r="F668" t="s">
        <v>60</v>
      </c>
      <c r="G668" t="s">
        <v>263</v>
      </c>
      <c r="H668" t="s">
        <v>264</v>
      </c>
      <c r="I668" t="s">
        <v>31</v>
      </c>
      <c r="J668">
        <v>772</v>
      </c>
      <c r="K668" t="s">
        <v>265</v>
      </c>
      <c r="L668">
        <v>9</v>
      </c>
      <c r="M668">
        <v>11.8081</v>
      </c>
      <c r="P668" t="s">
        <v>33</v>
      </c>
      <c r="Q668">
        <v>1</v>
      </c>
      <c r="R668" t="s">
        <v>1272</v>
      </c>
      <c r="S668" s="1" t="s">
        <v>1338</v>
      </c>
    </row>
    <row r="669" spans="1:19" hidden="1" x14ac:dyDescent="0.3">
      <c r="A669" t="s">
        <v>889</v>
      </c>
      <c r="B669" t="s">
        <v>890</v>
      </c>
      <c r="C669" t="s">
        <v>731</v>
      </c>
      <c r="D669">
        <v>10623</v>
      </c>
      <c r="E669" t="s">
        <v>817</v>
      </c>
      <c r="F669" t="s">
        <v>74</v>
      </c>
      <c r="G669" t="s">
        <v>818</v>
      </c>
      <c r="H669" t="s">
        <v>819</v>
      </c>
      <c r="I669" t="s">
        <v>25</v>
      </c>
      <c r="J669">
        <v>578</v>
      </c>
      <c r="K669" t="s">
        <v>820</v>
      </c>
      <c r="L669">
        <v>10</v>
      </c>
      <c r="M669">
        <v>11.0868</v>
      </c>
      <c r="P669" t="s">
        <v>33</v>
      </c>
      <c r="Q669">
        <v>2</v>
      </c>
      <c r="R669" t="s">
        <v>1272</v>
      </c>
      <c r="S669" s="1" t="s">
        <v>1280</v>
      </c>
    </row>
    <row r="670" spans="1:19" hidden="1" x14ac:dyDescent="0.3">
      <c r="A670" t="s">
        <v>889</v>
      </c>
      <c r="B670" t="s">
        <v>890</v>
      </c>
      <c r="C670" t="s">
        <v>731</v>
      </c>
      <c r="D670">
        <v>15013</v>
      </c>
      <c r="E670" t="s">
        <v>59</v>
      </c>
      <c r="F670" t="s">
        <v>60</v>
      </c>
      <c r="G670" t="s">
        <v>61</v>
      </c>
      <c r="H670" t="s">
        <v>62</v>
      </c>
      <c r="I670" t="s">
        <v>25</v>
      </c>
      <c r="J670">
        <v>550</v>
      </c>
      <c r="K670" t="s">
        <v>63</v>
      </c>
      <c r="N670">
        <v>10</v>
      </c>
      <c r="O670">
        <v>0.41</v>
      </c>
      <c r="P670" t="s">
        <v>38</v>
      </c>
      <c r="Q670">
        <v>1</v>
      </c>
      <c r="R670" t="s">
        <v>1272</v>
      </c>
      <c r="S670" s="1" t="s">
        <v>1338</v>
      </c>
    </row>
    <row r="671" spans="1:19" hidden="1" x14ac:dyDescent="0.3">
      <c r="A671" t="s">
        <v>906</v>
      </c>
      <c r="B671" t="s">
        <v>907</v>
      </c>
      <c r="C671" t="s">
        <v>731</v>
      </c>
      <c r="D671">
        <v>541</v>
      </c>
      <c r="E671" t="s">
        <v>170</v>
      </c>
      <c r="F671" t="s">
        <v>155</v>
      </c>
      <c r="G671" t="s">
        <v>171</v>
      </c>
      <c r="H671" t="s">
        <v>172</v>
      </c>
      <c r="I671" t="s">
        <v>25</v>
      </c>
      <c r="J671">
        <v>738</v>
      </c>
      <c r="K671" t="s">
        <v>173</v>
      </c>
      <c r="L671">
        <v>1</v>
      </c>
      <c r="M671">
        <v>10.445499999999999</v>
      </c>
      <c r="P671" t="s">
        <v>33</v>
      </c>
      <c r="Q671">
        <v>2</v>
      </c>
      <c r="R671" t="s">
        <v>1272</v>
      </c>
      <c r="S671" s="1" t="s">
        <v>1280</v>
      </c>
    </row>
    <row r="672" spans="1:19" hidden="1" x14ac:dyDescent="0.3">
      <c r="A672" t="s">
        <v>906</v>
      </c>
      <c r="B672" t="s">
        <v>907</v>
      </c>
      <c r="C672" t="s">
        <v>731</v>
      </c>
      <c r="D672">
        <v>18703</v>
      </c>
      <c r="E672" t="s">
        <v>116</v>
      </c>
      <c r="F672" t="s">
        <v>117</v>
      </c>
      <c r="G672" t="s">
        <v>118</v>
      </c>
      <c r="H672" t="s">
        <v>119</v>
      </c>
      <c r="I672" t="s">
        <v>31</v>
      </c>
      <c r="J672">
        <v>303</v>
      </c>
      <c r="K672" t="s">
        <v>120</v>
      </c>
      <c r="N672">
        <v>1</v>
      </c>
      <c r="O672">
        <v>0.36299999999999999</v>
      </c>
      <c r="P672" t="s">
        <v>38</v>
      </c>
      <c r="Q672">
        <v>2</v>
      </c>
      <c r="R672" t="s">
        <v>1272</v>
      </c>
      <c r="S672" s="1" t="s">
        <v>1280</v>
      </c>
    </row>
    <row r="673" spans="1:19" hidden="1" x14ac:dyDescent="0.3">
      <c r="A673" t="s">
        <v>906</v>
      </c>
      <c r="B673" t="s">
        <v>907</v>
      </c>
      <c r="C673" t="s">
        <v>731</v>
      </c>
      <c r="D673">
        <v>9529</v>
      </c>
      <c r="E673" t="s">
        <v>606</v>
      </c>
      <c r="F673" t="s">
        <v>155</v>
      </c>
      <c r="G673" t="s">
        <v>41</v>
      </c>
      <c r="H673" t="s">
        <v>607</v>
      </c>
      <c r="I673" t="s">
        <v>25</v>
      </c>
      <c r="J673">
        <v>1417</v>
      </c>
      <c r="K673" t="s">
        <v>608</v>
      </c>
      <c r="L673">
        <v>2</v>
      </c>
      <c r="M673">
        <v>10.281700000000001</v>
      </c>
      <c r="P673" t="s">
        <v>33</v>
      </c>
      <c r="Q673">
        <v>0</v>
      </c>
      <c r="R673" t="s">
        <v>1272</v>
      </c>
      <c r="S673" s="1" t="s">
        <v>1334</v>
      </c>
    </row>
    <row r="674" spans="1:19" hidden="1" x14ac:dyDescent="0.3">
      <c r="A674" t="s">
        <v>906</v>
      </c>
      <c r="B674" t="s">
        <v>907</v>
      </c>
      <c r="C674" t="s">
        <v>731</v>
      </c>
      <c r="D674">
        <v>17487</v>
      </c>
      <c r="E674" t="s">
        <v>641</v>
      </c>
      <c r="F674" t="s">
        <v>155</v>
      </c>
      <c r="G674" t="s">
        <v>642</v>
      </c>
      <c r="H674" t="s">
        <v>643</v>
      </c>
      <c r="I674" t="s">
        <v>25</v>
      </c>
      <c r="J674">
        <v>827</v>
      </c>
      <c r="K674" t="s">
        <v>644</v>
      </c>
      <c r="N674">
        <v>2</v>
      </c>
      <c r="O674">
        <v>0.35870000000000002</v>
      </c>
      <c r="P674" t="s">
        <v>38</v>
      </c>
      <c r="Q674">
        <v>0</v>
      </c>
      <c r="R674" t="s">
        <v>1272</v>
      </c>
      <c r="S674" s="1" t="s">
        <v>1334</v>
      </c>
    </row>
    <row r="675" spans="1:19" hidden="1" x14ac:dyDescent="0.3">
      <c r="A675" t="s">
        <v>906</v>
      </c>
      <c r="B675" t="s">
        <v>907</v>
      </c>
      <c r="C675" t="s">
        <v>731</v>
      </c>
      <c r="D675">
        <v>19019</v>
      </c>
      <c r="E675" t="s">
        <v>296</v>
      </c>
      <c r="F675" t="s">
        <v>297</v>
      </c>
      <c r="G675" t="s">
        <v>298</v>
      </c>
      <c r="H675" t="s">
        <v>299</v>
      </c>
      <c r="I675" t="s">
        <v>25</v>
      </c>
      <c r="J675">
        <v>999</v>
      </c>
      <c r="K675" t="s">
        <v>300</v>
      </c>
      <c r="N675">
        <v>3</v>
      </c>
      <c r="O675">
        <v>0.35249999999999998</v>
      </c>
      <c r="P675" t="s">
        <v>38</v>
      </c>
      <c r="Q675">
        <v>2</v>
      </c>
      <c r="R675" t="s">
        <v>1272</v>
      </c>
      <c r="S675" s="1" t="s">
        <v>1280</v>
      </c>
    </row>
    <row r="676" spans="1:19" hidden="1" x14ac:dyDescent="0.3">
      <c r="A676" t="s">
        <v>906</v>
      </c>
      <c r="B676" t="s">
        <v>907</v>
      </c>
      <c r="C676" t="s">
        <v>731</v>
      </c>
      <c r="D676">
        <v>19710</v>
      </c>
      <c r="E676" t="s">
        <v>199</v>
      </c>
      <c r="F676" t="s">
        <v>200</v>
      </c>
      <c r="G676" t="s">
        <v>201</v>
      </c>
      <c r="H676" t="s">
        <v>202</v>
      </c>
      <c r="I676" t="s">
        <v>31</v>
      </c>
      <c r="J676">
        <v>262</v>
      </c>
      <c r="K676" t="s">
        <v>203</v>
      </c>
      <c r="L676">
        <v>3</v>
      </c>
      <c r="M676">
        <v>9.6824999999999992</v>
      </c>
      <c r="P676" t="s">
        <v>33</v>
      </c>
      <c r="Q676">
        <v>0</v>
      </c>
      <c r="R676" t="s">
        <v>1272</v>
      </c>
      <c r="S676" s="1" t="s">
        <v>1334</v>
      </c>
    </row>
    <row r="677" spans="1:19" hidden="1" x14ac:dyDescent="0.3">
      <c r="A677" t="s">
        <v>906</v>
      </c>
      <c r="B677" t="s">
        <v>907</v>
      </c>
      <c r="C677" t="s">
        <v>731</v>
      </c>
      <c r="D677">
        <v>13674</v>
      </c>
      <c r="E677" t="s">
        <v>78</v>
      </c>
      <c r="F677" t="s">
        <v>22</v>
      </c>
      <c r="G677" t="s">
        <v>79</v>
      </c>
      <c r="H677" t="s">
        <v>80</v>
      </c>
      <c r="I677" t="s">
        <v>31</v>
      </c>
      <c r="J677">
        <v>1127</v>
      </c>
      <c r="K677" t="s">
        <v>81</v>
      </c>
      <c r="N677">
        <v>4</v>
      </c>
      <c r="O677">
        <v>0.3493</v>
      </c>
      <c r="P677" t="s">
        <v>38</v>
      </c>
      <c r="Q677">
        <v>0</v>
      </c>
      <c r="R677" t="s">
        <v>1272</v>
      </c>
      <c r="S677" s="1" t="s">
        <v>1334</v>
      </c>
    </row>
    <row r="678" spans="1:19" hidden="1" x14ac:dyDescent="0.3">
      <c r="A678" t="s">
        <v>906</v>
      </c>
      <c r="B678" t="s">
        <v>907</v>
      </c>
      <c r="C678" t="s">
        <v>731</v>
      </c>
      <c r="D678">
        <v>17650</v>
      </c>
      <c r="E678" t="s">
        <v>195</v>
      </c>
      <c r="F678" t="s">
        <v>155</v>
      </c>
      <c r="G678" t="s">
        <v>196</v>
      </c>
      <c r="H678" t="s">
        <v>197</v>
      </c>
      <c r="I678" t="s">
        <v>25</v>
      </c>
      <c r="J678">
        <v>700</v>
      </c>
      <c r="K678" t="s">
        <v>198</v>
      </c>
      <c r="L678">
        <v>4</v>
      </c>
      <c r="M678">
        <v>9.5300999999999991</v>
      </c>
      <c r="P678" t="s">
        <v>33</v>
      </c>
      <c r="Q678">
        <v>1</v>
      </c>
      <c r="R678" t="s">
        <v>1272</v>
      </c>
      <c r="S678" s="1" t="s">
        <v>1338</v>
      </c>
    </row>
    <row r="679" spans="1:19" hidden="1" x14ac:dyDescent="0.3">
      <c r="A679" t="s">
        <v>906</v>
      </c>
      <c r="B679" t="s">
        <v>907</v>
      </c>
      <c r="C679" t="s">
        <v>731</v>
      </c>
      <c r="D679">
        <v>12225</v>
      </c>
      <c r="E679" t="s">
        <v>908</v>
      </c>
      <c r="F679" t="s">
        <v>155</v>
      </c>
      <c r="G679" t="s">
        <v>909</v>
      </c>
      <c r="H679" t="s">
        <v>910</v>
      </c>
      <c r="I679" t="s">
        <v>31</v>
      </c>
      <c r="J679">
        <v>1732</v>
      </c>
      <c r="K679" t="s">
        <v>911</v>
      </c>
      <c r="L679">
        <v>5</v>
      </c>
      <c r="M679">
        <v>9.4130000000000003</v>
      </c>
      <c r="P679" t="s">
        <v>33</v>
      </c>
      <c r="Q679">
        <v>0</v>
      </c>
      <c r="R679" t="s">
        <v>1272</v>
      </c>
      <c r="S679" s="1" t="s">
        <v>1334</v>
      </c>
    </row>
    <row r="680" spans="1:19" hidden="1" x14ac:dyDescent="0.3">
      <c r="A680" t="s">
        <v>906</v>
      </c>
      <c r="B680" t="s">
        <v>907</v>
      </c>
      <c r="C680" t="s">
        <v>731</v>
      </c>
      <c r="D680">
        <v>20799</v>
      </c>
      <c r="E680" t="s">
        <v>493</v>
      </c>
      <c r="F680" t="s">
        <v>494</v>
      </c>
      <c r="G680" t="s">
        <v>495</v>
      </c>
      <c r="H680" t="s">
        <v>496</v>
      </c>
      <c r="I680" t="s">
        <v>25</v>
      </c>
      <c r="J680">
        <v>575</v>
      </c>
      <c r="K680" t="s">
        <v>497</v>
      </c>
      <c r="N680">
        <v>5</v>
      </c>
      <c r="O680">
        <v>0.34820000000000001</v>
      </c>
      <c r="P680" t="s">
        <v>38</v>
      </c>
      <c r="Q680">
        <v>2</v>
      </c>
      <c r="R680" t="s">
        <v>1272</v>
      </c>
      <c r="S680" s="1" t="s">
        <v>1280</v>
      </c>
    </row>
    <row r="681" spans="1:19" hidden="1" x14ac:dyDescent="0.3">
      <c r="A681" t="s">
        <v>906</v>
      </c>
      <c r="B681" t="s">
        <v>907</v>
      </c>
      <c r="C681" t="s">
        <v>731</v>
      </c>
      <c r="D681">
        <v>15839</v>
      </c>
      <c r="E681" t="s">
        <v>154</v>
      </c>
      <c r="F681" t="s">
        <v>155</v>
      </c>
      <c r="G681" t="s">
        <v>156</v>
      </c>
      <c r="H681" t="s">
        <v>157</v>
      </c>
      <c r="I681" t="s">
        <v>25</v>
      </c>
      <c r="J681">
        <v>298</v>
      </c>
      <c r="K681" t="s">
        <v>158</v>
      </c>
      <c r="L681">
        <v>6</v>
      </c>
      <c r="M681">
        <v>8.8811</v>
      </c>
      <c r="P681" t="s">
        <v>33</v>
      </c>
      <c r="Q681">
        <v>0</v>
      </c>
      <c r="R681" t="s">
        <v>1272</v>
      </c>
      <c r="S681" s="1" t="s">
        <v>1334</v>
      </c>
    </row>
    <row r="682" spans="1:19" hidden="1" x14ac:dyDescent="0.3">
      <c r="A682" t="s">
        <v>906</v>
      </c>
      <c r="B682" t="s">
        <v>907</v>
      </c>
      <c r="C682" t="s">
        <v>731</v>
      </c>
      <c r="D682">
        <v>20595</v>
      </c>
      <c r="E682" t="s">
        <v>190</v>
      </c>
      <c r="F682" t="s">
        <v>191</v>
      </c>
      <c r="G682" t="s">
        <v>192</v>
      </c>
      <c r="H682" t="s">
        <v>193</v>
      </c>
      <c r="I682" t="s">
        <v>25</v>
      </c>
      <c r="J682">
        <v>2941</v>
      </c>
      <c r="K682" t="s">
        <v>194</v>
      </c>
      <c r="N682">
        <v>6</v>
      </c>
      <c r="O682">
        <v>0.34810000000000002</v>
      </c>
      <c r="P682" t="s">
        <v>38</v>
      </c>
      <c r="Q682">
        <v>1</v>
      </c>
      <c r="R682" t="s">
        <v>1272</v>
      </c>
      <c r="S682" s="1" t="s">
        <v>1338</v>
      </c>
    </row>
    <row r="683" spans="1:19" hidden="1" x14ac:dyDescent="0.3">
      <c r="A683" t="s">
        <v>906</v>
      </c>
      <c r="B683" t="s">
        <v>907</v>
      </c>
      <c r="C683" t="s">
        <v>731</v>
      </c>
      <c r="D683">
        <v>14073</v>
      </c>
      <c r="E683" t="s">
        <v>258</v>
      </c>
      <c r="F683" t="s">
        <v>74</v>
      </c>
      <c r="G683" t="s">
        <v>259</v>
      </c>
      <c r="H683" t="s">
        <v>260</v>
      </c>
      <c r="I683" t="s">
        <v>31</v>
      </c>
      <c r="J683">
        <v>494</v>
      </c>
      <c r="K683" t="s">
        <v>261</v>
      </c>
      <c r="L683">
        <v>7</v>
      </c>
      <c r="M683">
        <v>8.7386999999999997</v>
      </c>
      <c r="P683" t="s">
        <v>33</v>
      </c>
      <c r="Q683">
        <v>0</v>
      </c>
      <c r="R683" t="s">
        <v>1272</v>
      </c>
      <c r="S683" s="1" t="s">
        <v>1334</v>
      </c>
    </row>
    <row r="684" spans="1:19" hidden="1" x14ac:dyDescent="0.3">
      <c r="A684" t="s">
        <v>906</v>
      </c>
      <c r="B684" t="s">
        <v>907</v>
      </c>
      <c r="C684" t="s">
        <v>731</v>
      </c>
      <c r="D684">
        <v>16145</v>
      </c>
      <c r="E684" t="s">
        <v>182</v>
      </c>
      <c r="F684" t="s">
        <v>155</v>
      </c>
      <c r="G684" t="s">
        <v>183</v>
      </c>
      <c r="H684" t="s">
        <v>184</v>
      </c>
      <c r="I684" t="s">
        <v>31</v>
      </c>
      <c r="J684">
        <v>2447</v>
      </c>
      <c r="K684" t="s">
        <v>185</v>
      </c>
      <c r="N684">
        <v>7</v>
      </c>
      <c r="O684">
        <v>0.3453</v>
      </c>
      <c r="P684" t="s">
        <v>38</v>
      </c>
      <c r="Q684">
        <v>0</v>
      </c>
      <c r="R684" t="s">
        <v>1272</v>
      </c>
      <c r="S684" s="1" t="s">
        <v>1334</v>
      </c>
    </row>
    <row r="685" spans="1:19" hidden="1" x14ac:dyDescent="0.3">
      <c r="A685" t="s">
        <v>906</v>
      </c>
      <c r="B685" t="s">
        <v>907</v>
      </c>
      <c r="C685" t="s">
        <v>731</v>
      </c>
      <c r="D685">
        <v>17349</v>
      </c>
      <c r="E685" t="s">
        <v>234</v>
      </c>
      <c r="F685" t="s">
        <v>155</v>
      </c>
      <c r="G685" t="s">
        <v>235</v>
      </c>
      <c r="H685" t="s">
        <v>236</v>
      </c>
      <c r="I685" t="s">
        <v>25</v>
      </c>
      <c r="J685">
        <v>281</v>
      </c>
      <c r="K685" t="s">
        <v>237</v>
      </c>
      <c r="N685">
        <v>8</v>
      </c>
      <c r="O685">
        <v>0.3427</v>
      </c>
      <c r="P685" t="s">
        <v>38</v>
      </c>
      <c r="Q685">
        <v>1</v>
      </c>
      <c r="R685" t="s">
        <v>1272</v>
      </c>
      <c r="S685" s="1" t="s">
        <v>1338</v>
      </c>
    </row>
    <row r="686" spans="1:19" hidden="1" x14ac:dyDescent="0.3">
      <c r="A686" t="s">
        <v>906</v>
      </c>
      <c r="B686" t="s">
        <v>907</v>
      </c>
      <c r="C686" t="s">
        <v>731</v>
      </c>
      <c r="D686">
        <v>17739</v>
      </c>
      <c r="E686" t="s">
        <v>912</v>
      </c>
      <c r="F686" t="s">
        <v>155</v>
      </c>
      <c r="G686" t="s">
        <v>632</v>
      </c>
      <c r="H686" t="s">
        <v>913</v>
      </c>
      <c r="I686" t="s">
        <v>25</v>
      </c>
      <c r="J686">
        <v>109</v>
      </c>
      <c r="K686" t="s">
        <v>914</v>
      </c>
      <c r="L686">
        <v>8</v>
      </c>
      <c r="M686">
        <v>8.6860999999999997</v>
      </c>
      <c r="P686" t="s">
        <v>33</v>
      </c>
      <c r="Q686">
        <v>2</v>
      </c>
      <c r="R686" t="s">
        <v>1272</v>
      </c>
      <c r="S686" s="1" t="s">
        <v>1280</v>
      </c>
    </row>
    <row r="687" spans="1:19" hidden="1" x14ac:dyDescent="0.3">
      <c r="A687" t="s">
        <v>906</v>
      </c>
      <c r="B687" t="s">
        <v>907</v>
      </c>
      <c r="C687" t="s">
        <v>731</v>
      </c>
      <c r="D687">
        <v>19521</v>
      </c>
      <c r="E687" t="s">
        <v>213</v>
      </c>
      <c r="F687" t="s">
        <v>155</v>
      </c>
      <c r="G687" t="s">
        <v>214</v>
      </c>
      <c r="H687" t="s">
        <v>215</v>
      </c>
      <c r="I687" t="s">
        <v>31</v>
      </c>
      <c r="J687">
        <v>265</v>
      </c>
      <c r="K687" t="s">
        <v>216</v>
      </c>
      <c r="N687">
        <v>9</v>
      </c>
      <c r="O687">
        <v>0.34110000000000001</v>
      </c>
      <c r="P687" t="s">
        <v>38</v>
      </c>
      <c r="Q687">
        <v>2</v>
      </c>
      <c r="R687" t="s">
        <v>1272</v>
      </c>
      <c r="S687" s="1" t="s">
        <v>1280</v>
      </c>
    </row>
    <row r="688" spans="1:19" hidden="1" x14ac:dyDescent="0.3">
      <c r="A688" t="s">
        <v>906</v>
      </c>
      <c r="B688" t="s">
        <v>907</v>
      </c>
      <c r="C688" t="s">
        <v>731</v>
      </c>
      <c r="D688">
        <v>19897</v>
      </c>
      <c r="E688" t="s">
        <v>915</v>
      </c>
      <c r="F688" t="s">
        <v>155</v>
      </c>
      <c r="G688" t="s">
        <v>916</v>
      </c>
      <c r="H688" t="s">
        <v>917</v>
      </c>
      <c r="I688" t="s">
        <v>31</v>
      </c>
      <c r="J688">
        <v>266</v>
      </c>
      <c r="K688" t="s">
        <v>918</v>
      </c>
      <c r="L688">
        <v>9</v>
      </c>
      <c r="M688">
        <v>8.4689999999999994</v>
      </c>
      <c r="P688" t="s">
        <v>33</v>
      </c>
      <c r="Q688">
        <v>2</v>
      </c>
      <c r="R688" t="s">
        <v>1272</v>
      </c>
      <c r="S688" s="1" t="s">
        <v>1280</v>
      </c>
    </row>
    <row r="689" spans="1:19" hidden="1" x14ac:dyDescent="0.3">
      <c r="A689" t="s">
        <v>906</v>
      </c>
      <c r="B689" t="s">
        <v>907</v>
      </c>
      <c r="C689" t="s">
        <v>731</v>
      </c>
      <c r="D689">
        <v>13084</v>
      </c>
      <c r="E689" t="s">
        <v>217</v>
      </c>
      <c r="F689" t="s">
        <v>155</v>
      </c>
      <c r="G689" t="s">
        <v>218</v>
      </c>
      <c r="H689" t="s">
        <v>219</v>
      </c>
      <c r="I689" t="s">
        <v>31</v>
      </c>
      <c r="J689">
        <v>730</v>
      </c>
      <c r="K689" t="s">
        <v>220</v>
      </c>
      <c r="L689">
        <v>10</v>
      </c>
      <c r="M689">
        <v>8.2354000000000003</v>
      </c>
      <c r="P689" t="s">
        <v>33</v>
      </c>
      <c r="Q689">
        <v>2</v>
      </c>
      <c r="R689" t="s">
        <v>1272</v>
      </c>
      <c r="S689" s="1" t="s">
        <v>1280</v>
      </c>
    </row>
    <row r="690" spans="1:19" hidden="1" x14ac:dyDescent="0.3">
      <c r="A690" t="s">
        <v>906</v>
      </c>
      <c r="B690" t="s">
        <v>907</v>
      </c>
      <c r="C690" t="s">
        <v>731</v>
      </c>
      <c r="D690">
        <v>20532</v>
      </c>
      <c r="E690" t="s">
        <v>221</v>
      </c>
      <c r="F690" t="s">
        <v>222</v>
      </c>
      <c r="G690" t="s">
        <v>41</v>
      </c>
      <c r="H690" t="s">
        <v>223</v>
      </c>
      <c r="I690" t="s">
        <v>25</v>
      </c>
      <c r="J690">
        <v>1105</v>
      </c>
      <c r="K690" t="s">
        <v>224</v>
      </c>
      <c r="N690">
        <v>10</v>
      </c>
      <c r="O690">
        <v>0.3382</v>
      </c>
      <c r="P690" t="s">
        <v>38</v>
      </c>
      <c r="Q690">
        <v>0</v>
      </c>
      <c r="R690" t="s">
        <v>1272</v>
      </c>
      <c r="S690" s="1" t="s">
        <v>1334</v>
      </c>
    </row>
    <row r="691" spans="1:19" hidden="1" x14ac:dyDescent="0.3">
      <c r="A691" t="s">
        <v>919</v>
      </c>
      <c r="B691" t="s">
        <v>920</v>
      </c>
      <c r="C691" t="s">
        <v>731</v>
      </c>
      <c r="D691">
        <v>9529</v>
      </c>
      <c r="E691" t="s">
        <v>606</v>
      </c>
      <c r="F691" t="s">
        <v>155</v>
      </c>
      <c r="G691" t="s">
        <v>41</v>
      </c>
      <c r="H691" t="s">
        <v>607</v>
      </c>
      <c r="I691" t="s">
        <v>25</v>
      </c>
      <c r="J691">
        <v>1417</v>
      </c>
      <c r="K691" t="s">
        <v>608</v>
      </c>
      <c r="L691">
        <v>1</v>
      </c>
      <c r="M691">
        <v>13.402699999999999</v>
      </c>
      <c r="P691" t="s">
        <v>33</v>
      </c>
      <c r="Q691">
        <v>1</v>
      </c>
      <c r="R691" t="s">
        <v>1272</v>
      </c>
      <c r="S691" s="1" t="s">
        <v>1338</v>
      </c>
    </row>
    <row r="692" spans="1:19" hidden="1" x14ac:dyDescent="0.3">
      <c r="A692" t="s">
        <v>919</v>
      </c>
      <c r="B692" t="s">
        <v>920</v>
      </c>
      <c r="C692" t="s">
        <v>731</v>
      </c>
      <c r="D692">
        <v>18885</v>
      </c>
      <c r="E692" t="s">
        <v>86</v>
      </c>
      <c r="F692" t="s">
        <v>60</v>
      </c>
      <c r="G692" t="s">
        <v>87</v>
      </c>
      <c r="H692" t="s">
        <v>88</v>
      </c>
      <c r="I692" t="s">
        <v>31</v>
      </c>
      <c r="J692">
        <v>596</v>
      </c>
      <c r="K692" t="s">
        <v>89</v>
      </c>
      <c r="N692">
        <v>1</v>
      </c>
      <c r="O692">
        <v>0.36880000000000002</v>
      </c>
      <c r="P692" t="s">
        <v>38</v>
      </c>
      <c r="Q692">
        <v>1</v>
      </c>
      <c r="R692" t="s">
        <v>1272</v>
      </c>
      <c r="S692" s="1" t="s">
        <v>1338</v>
      </c>
    </row>
    <row r="693" spans="1:19" hidden="1" x14ac:dyDescent="0.3">
      <c r="A693" t="s">
        <v>919</v>
      </c>
      <c r="B693" t="s">
        <v>920</v>
      </c>
      <c r="C693" t="s">
        <v>731</v>
      </c>
      <c r="D693">
        <v>171</v>
      </c>
      <c r="E693" t="s">
        <v>102</v>
      </c>
      <c r="F693" t="s">
        <v>103</v>
      </c>
      <c r="G693" t="s">
        <v>104</v>
      </c>
      <c r="H693" t="s">
        <v>105</v>
      </c>
      <c r="I693" t="s">
        <v>31</v>
      </c>
      <c r="J693">
        <v>474</v>
      </c>
      <c r="K693" t="s">
        <v>106</v>
      </c>
      <c r="L693">
        <v>9</v>
      </c>
      <c r="M693">
        <v>7.0716000000000001</v>
      </c>
      <c r="N693">
        <v>2</v>
      </c>
      <c r="O693">
        <v>0.3679</v>
      </c>
      <c r="P693" t="s">
        <v>27</v>
      </c>
      <c r="Q693">
        <v>1</v>
      </c>
      <c r="R693" t="s">
        <v>1272</v>
      </c>
      <c r="S693" s="1" t="s">
        <v>1338</v>
      </c>
    </row>
    <row r="694" spans="1:19" hidden="1" x14ac:dyDescent="0.3">
      <c r="A694" t="s">
        <v>919</v>
      </c>
      <c r="B694" t="s">
        <v>920</v>
      </c>
      <c r="C694" t="s">
        <v>731</v>
      </c>
      <c r="D694">
        <v>17762</v>
      </c>
      <c r="E694" t="s">
        <v>441</v>
      </c>
      <c r="F694" t="s">
        <v>425</v>
      </c>
      <c r="G694" t="s">
        <v>442</v>
      </c>
      <c r="H694" t="s">
        <v>443</v>
      </c>
      <c r="I694" t="s">
        <v>31</v>
      </c>
      <c r="J694">
        <v>1580</v>
      </c>
      <c r="K694" t="s">
        <v>444</v>
      </c>
      <c r="L694">
        <v>2</v>
      </c>
      <c r="M694">
        <v>9.1795000000000009</v>
      </c>
      <c r="P694" t="s">
        <v>33</v>
      </c>
      <c r="Q694">
        <v>1</v>
      </c>
      <c r="R694" t="s">
        <v>1272</v>
      </c>
      <c r="S694" t="s">
        <v>1332</v>
      </c>
    </row>
    <row r="695" spans="1:19" hidden="1" x14ac:dyDescent="0.3">
      <c r="A695" t="s">
        <v>919</v>
      </c>
      <c r="B695" t="s">
        <v>920</v>
      </c>
      <c r="C695" t="s">
        <v>731</v>
      </c>
      <c r="D695">
        <v>14198</v>
      </c>
      <c r="E695" t="s">
        <v>73</v>
      </c>
      <c r="F695" t="s">
        <v>74</v>
      </c>
      <c r="G695" t="s">
        <v>75</v>
      </c>
      <c r="H695" t="s">
        <v>76</v>
      </c>
      <c r="I695" t="s">
        <v>31</v>
      </c>
      <c r="J695">
        <v>377</v>
      </c>
      <c r="K695" t="s">
        <v>77</v>
      </c>
      <c r="L695">
        <v>3</v>
      </c>
      <c r="M695">
        <v>8.6934000000000005</v>
      </c>
      <c r="P695" t="s">
        <v>33</v>
      </c>
      <c r="Q695">
        <v>0</v>
      </c>
      <c r="R695" t="s">
        <v>1272</v>
      </c>
      <c r="S695" s="1" t="s">
        <v>1275</v>
      </c>
    </row>
    <row r="696" spans="1:19" hidden="1" x14ac:dyDescent="0.3">
      <c r="A696" t="s">
        <v>919</v>
      </c>
      <c r="B696" t="s">
        <v>920</v>
      </c>
      <c r="C696" t="s">
        <v>731</v>
      </c>
      <c r="D696">
        <v>20353</v>
      </c>
      <c r="E696" t="s">
        <v>164</v>
      </c>
      <c r="F696" t="s">
        <v>165</v>
      </c>
      <c r="G696" t="s">
        <v>41</v>
      </c>
      <c r="H696" t="s">
        <v>166</v>
      </c>
      <c r="I696" t="s">
        <v>31</v>
      </c>
      <c r="J696">
        <v>899</v>
      </c>
      <c r="K696" t="s">
        <v>167</v>
      </c>
      <c r="N696">
        <v>3</v>
      </c>
      <c r="O696">
        <v>0.34429999999999999</v>
      </c>
      <c r="P696" t="s">
        <v>38</v>
      </c>
      <c r="Q696">
        <v>0</v>
      </c>
      <c r="R696" t="s">
        <v>1272</v>
      </c>
      <c r="S696" s="1" t="s">
        <v>1275</v>
      </c>
    </row>
    <row r="697" spans="1:19" hidden="1" x14ac:dyDescent="0.3">
      <c r="A697" t="s">
        <v>919</v>
      </c>
      <c r="B697" t="s">
        <v>920</v>
      </c>
      <c r="C697" t="s">
        <v>731</v>
      </c>
      <c r="D697">
        <v>11918</v>
      </c>
      <c r="E697" t="s">
        <v>133</v>
      </c>
      <c r="F697" t="s">
        <v>60</v>
      </c>
      <c r="G697" t="s">
        <v>134</v>
      </c>
      <c r="H697" t="s">
        <v>135</v>
      </c>
      <c r="I697" t="s">
        <v>25</v>
      </c>
      <c r="J697">
        <v>3604</v>
      </c>
      <c r="K697" t="s">
        <v>136</v>
      </c>
      <c r="L697">
        <v>4</v>
      </c>
      <c r="M697">
        <v>8.0320999999999998</v>
      </c>
      <c r="P697" t="s">
        <v>33</v>
      </c>
      <c r="Q697">
        <v>1</v>
      </c>
      <c r="R697" t="s">
        <v>1272</v>
      </c>
      <c r="S697" s="1" t="s">
        <v>1338</v>
      </c>
    </row>
    <row r="698" spans="1:19" hidden="1" x14ac:dyDescent="0.3">
      <c r="A698" t="s">
        <v>919</v>
      </c>
      <c r="B698" t="s">
        <v>920</v>
      </c>
      <c r="C698" t="s">
        <v>731</v>
      </c>
      <c r="D698">
        <v>14103</v>
      </c>
      <c r="E698" t="s">
        <v>509</v>
      </c>
      <c r="F698" t="s">
        <v>74</v>
      </c>
      <c r="G698" t="s">
        <v>510</v>
      </c>
      <c r="H698" t="s">
        <v>511</v>
      </c>
      <c r="I698" t="s">
        <v>31</v>
      </c>
      <c r="J698">
        <v>290</v>
      </c>
      <c r="K698" t="s">
        <v>512</v>
      </c>
      <c r="N698">
        <v>4</v>
      </c>
      <c r="O698">
        <v>0.34300000000000003</v>
      </c>
      <c r="P698" t="s">
        <v>38</v>
      </c>
      <c r="Q698">
        <v>0</v>
      </c>
      <c r="R698" t="s">
        <v>1272</v>
      </c>
      <c r="S698" s="1" t="s">
        <v>1334</v>
      </c>
    </row>
    <row r="699" spans="1:19" hidden="1" x14ac:dyDescent="0.3">
      <c r="A699" t="s">
        <v>919</v>
      </c>
      <c r="B699" t="s">
        <v>920</v>
      </c>
      <c r="C699" t="s">
        <v>731</v>
      </c>
      <c r="D699">
        <v>12188</v>
      </c>
      <c r="E699" t="s">
        <v>680</v>
      </c>
      <c r="F699" t="s">
        <v>668</v>
      </c>
      <c r="G699" t="s">
        <v>681</v>
      </c>
      <c r="H699" t="s">
        <v>682</v>
      </c>
      <c r="I699" t="s">
        <v>31</v>
      </c>
      <c r="J699">
        <v>637</v>
      </c>
      <c r="K699" t="s">
        <v>683</v>
      </c>
      <c r="N699">
        <v>5</v>
      </c>
      <c r="O699">
        <v>0.34189999999999998</v>
      </c>
      <c r="P699" t="s">
        <v>38</v>
      </c>
      <c r="Q699">
        <v>1</v>
      </c>
      <c r="R699" t="s">
        <v>1272</v>
      </c>
      <c r="S699" s="1" t="s">
        <v>1338</v>
      </c>
    </row>
    <row r="700" spans="1:19" hidden="1" x14ac:dyDescent="0.3">
      <c r="A700" t="s">
        <v>919</v>
      </c>
      <c r="B700" t="s">
        <v>920</v>
      </c>
      <c r="C700" t="s">
        <v>731</v>
      </c>
      <c r="D700">
        <v>16838</v>
      </c>
      <c r="E700" t="s">
        <v>129</v>
      </c>
      <c r="F700" t="s">
        <v>60</v>
      </c>
      <c r="G700" t="s">
        <v>130</v>
      </c>
      <c r="H700" t="s">
        <v>131</v>
      </c>
      <c r="I700" t="s">
        <v>31</v>
      </c>
      <c r="J700">
        <v>3435</v>
      </c>
      <c r="K700" t="s">
        <v>132</v>
      </c>
      <c r="L700">
        <v>5</v>
      </c>
      <c r="M700">
        <v>7.9268999999999998</v>
      </c>
      <c r="P700" t="s">
        <v>33</v>
      </c>
      <c r="Q700">
        <v>1</v>
      </c>
      <c r="R700" t="s">
        <v>1272</v>
      </c>
      <c r="S700" s="1" t="s">
        <v>1338</v>
      </c>
    </row>
    <row r="701" spans="1:19" hidden="1" x14ac:dyDescent="0.3">
      <c r="A701" t="s">
        <v>919</v>
      </c>
      <c r="B701" t="s">
        <v>920</v>
      </c>
      <c r="C701" t="s">
        <v>731</v>
      </c>
      <c r="D701">
        <v>17916</v>
      </c>
      <c r="E701" t="s">
        <v>921</v>
      </c>
      <c r="F701" t="s">
        <v>60</v>
      </c>
      <c r="G701" t="s">
        <v>922</v>
      </c>
      <c r="H701" t="s">
        <v>923</v>
      </c>
      <c r="I701" t="s">
        <v>31</v>
      </c>
      <c r="J701">
        <v>1081</v>
      </c>
      <c r="K701" t="s">
        <v>924</v>
      </c>
      <c r="N701">
        <v>6</v>
      </c>
      <c r="O701">
        <v>0.33600000000000002</v>
      </c>
      <c r="P701" t="s">
        <v>38</v>
      </c>
      <c r="Q701">
        <v>1</v>
      </c>
      <c r="R701" t="s">
        <v>1272</v>
      </c>
      <c r="S701" s="1" t="s">
        <v>1338</v>
      </c>
    </row>
    <row r="702" spans="1:19" hidden="1" x14ac:dyDescent="0.3">
      <c r="A702" t="s">
        <v>919</v>
      </c>
      <c r="B702" t="s">
        <v>920</v>
      </c>
      <c r="C702" t="s">
        <v>731</v>
      </c>
      <c r="D702">
        <v>20650</v>
      </c>
      <c r="E702" t="s">
        <v>309</v>
      </c>
      <c r="F702" t="s">
        <v>60</v>
      </c>
      <c r="G702" t="s">
        <v>310</v>
      </c>
      <c r="H702" t="s">
        <v>311</v>
      </c>
      <c r="I702" t="s">
        <v>25</v>
      </c>
      <c r="J702">
        <v>878</v>
      </c>
      <c r="K702" t="s">
        <v>312</v>
      </c>
      <c r="L702">
        <v>6</v>
      </c>
      <c r="M702">
        <v>7.5293999999999999</v>
      </c>
      <c r="P702" t="s">
        <v>33</v>
      </c>
      <c r="Q702">
        <v>0</v>
      </c>
      <c r="R702" t="s">
        <v>1272</v>
      </c>
      <c r="S702" s="1" t="s">
        <v>1334</v>
      </c>
    </row>
    <row r="703" spans="1:19" hidden="1" x14ac:dyDescent="0.3">
      <c r="A703" t="s">
        <v>919</v>
      </c>
      <c r="B703" t="s">
        <v>920</v>
      </c>
      <c r="C703" t="s">
        <v>731</v>
      </c>
      <c r="D703">
        <v>13084</v>
      </c>
      <c r="E703" t="s">
        <v>217</v>
      </c>
      <c r="F703" t="s">
        <v>155</v>
      </c>
      <c r="G703" t="s">
        <v>218</v>
      </c>
      <c r="H703" t="s">
        <v>219</v>
      </c>
      <c r="I703" t="s">
        <v>31</v>
      </c>
      <c r="J703">
        <v>730</v>
      </c>
      <c r="K703" t="s">
        <v>220</v>
      </c>
      <c r="L703">
        <v>7</v>
      </c>
      <c r="M703">
        <v>7.4317000000000002</v>
      </c>
      <c r="P703" t="s">
        <v>33</v>
      </c>
      <c r="Q703">
        <v>2</v>
      </c>
      <c r="R703" t="s">
        <v>1272</v>
      </c>
      <c r="S703" t="s">
        <v>1280</v>
      </c>
    </row>
    <row r="704" spans="1:19" hidden="1" x14ac:dyDescent="0.3">
      <c r="A704" t="s">
        <v>919</v>
      </c>
      <c r="B704" t="s">
        <v>920</v>
      </c>
      <c r="C704" t="s">
        <v>731</v>
      </c>
      <c r="D704">
        <v>13739</v>
      </c>
      <c r="E704" t="s">
        <v>358</v>
      </c>
      <c r="F704" t="s">
        <v>288</v>
      </c>
      <c r="G704" t="s">
        <v>359</v>
      </c>
      <c r="H704" t="s">
        <v>360</v>
      </c>
      <c r="I704" t="s">
        <v>31</v>
      </c>
      <c r="J704">
        <v>610</v>
      </c>
      <c r="K704" t="s">
        <v>361</v>
      </c>
      <c r="N704">
        <v>7</v>
      </c>
      <c r="O704">
        <v>0.33489999999999998</v>
      </c>
      <c r="P704" t="s">
        <v>38</v>
      </c>
      <c r="Q704">
        <v>1</v>
      </c>
      <c r="R704" t="s">
        <v>1272</v>
      </c>
      <c r="S704" s="1" t="s">
        <v>1338</v>
      </c>
    </row>
    <row r="705" spans="1:19" hidden="1" x14ac:dyDescent="0.3">
      <c r="A705" t="s">
        <v>919</v>
      </c>
      <c r="B705" t="s">
        <v>920</v>
      </c>
      <c r="C705" t="s">
        <v>731</v>
      </c>
      <c r="D705">
        <v>16201</v>
      </c>
      <c r="E705" t="s">
        <v>349</v>
      </c>
      <c r="F705" t="s">
        <v>288</v>
      </c>
      <c r="G705" t="s">
        <v>350</v>
      </c>
      <c r="H705" t="s">
        <v>351</v>
      </c>
      <c r="I705" t="s">
        <v>352</v>
      </c>
      <c r="J705">
        <v>1213</v>
      </c>
      <c r="K705" t="s">
        <v>353</v>
      </c>
      <c r="L705">
        <v>8</v>
      </c>
      <c r="M705">
        <v>7.2004000000000001</v>
      </c>
      <c r="P705" t="s">
        <v>33</v>
      </c>
      <c r="Q705">
        <v>0</v>
      </c>
      <c r="R705" t="s">
        <v>1272</v>
      </c>
      <c r="S705" s="1" t="s">
        <v>1334</v>
      </c>
    </row>
    <row r="706" spans="1:19" hidden="1" x14ac:dyDescent="0.3">
      <c r="A706" t="s">
        <v>919</v>
      </c>
      <c r="B706" t="s">
        <v>920</v>
      </c>
      <c r="C706" t="s">
        <v>731</v>
      </c>
      <c r="D706">
        <v>17058</v>
      </c>
      <c r="E706" t="s">
        <v>925</v>
      </c>
      <c r="F706" t="s">
        <v>60</v>
      </c>
      <c r="G706" t="s">
        <v>926</v>
      </c>
      <c r="H706" t="s">
        <v>927</v>
      </c>
      <c r="I706" t="s">
        <v>31</v>
      </c>
      <c r="J706">
        <v>5613</v>
      </c>
      <c r="K706" t="s">
        <v>928</v>
      </c>
      <c r="N706">
        <v>8</v>
      </c>
      <c r="O706">
        <v>0.33279999999999998</v>
      </c>
      <c r="P706" t="s">
        <v>38</v>
      </c>
      <c r="Q706">
        <v>1</v>
      </c>
      <c r="R706" t="s">
        <v>1272</v>
      </c>
      <c r="S706" s="1" t="s">
        <v>1338</v>
      </c>
    </row>
    <row r="707" spans="1:19" hidden="1" x14ac:dyDescent="0.3">
      <c r="A707" t="s">
        <v>919</v>
      </c>
      <c r="B707" t="s">
        <v>920</v>
      </c>
      <c r="C707" t="s">
        <v>731</v>
      </c>
      <c r="D707">
        <v>20803</v>
      </c>
      <c r="E707" t="s">
        <v>94</v>
      </c>
      <c r="F707" t="s">
        <v>95</v>
      </c>
      <c r="G707" t="s">
        <v>96</v>
      </c>
      <c r="H707" t="s">
        <v>97</v>
      </c>
      <c r="I707" t="s">
        <v>31</v>
      </c>
      <c r="J707">
        <v>100</v>
      </c>
      <c r="K707" t="s">
        <v>98</v>
      </c>
      <c r="N707">
        <v>9</v>
      </c>
      <c r="O707">
        <v>0.33129999999999998</v>
      </c>
      <c r="P707" t="s">
        <v>38</v>
      </c>
      <c r="Q707">
        <v>1</v>
      </c>
      <c r="R707" t="s">
        <v>1272</v>
      </c>
      <c r="S707" s="1" t="s">
        <v>1338</v>
      </c>
    </row>
    <row r="708" spans="1:19" hidden="1" x14ac:dyDescent="0.3">
      <c r="A708" t="s">
        <v>919</v>
      </c>
      <c r="B708" t="s">
        <v>920</v>
      </c>
      <c r="C708" t="s">
        <v>731</v>
      </c>
      <c r="D708">
        <v>14007</v>
      </c>
      <c r="E708" t="s">
        <v>929</v>
      </c>
      <c r="F708" t="s">
        <v>22</v>
      </c>
      <c r="G708" t="s">
        <v>930</v>
      </c>
      <c r="H708" t="s">
        <v>931</v>
      </c>
      <c r="I708" t="s">
        <v>31</v>
      </c>
      <c r="J708">
        <v>570</v>
      </c>
      <c r="K708" t="s">
        <v>932</v>
      </c>
      <c r="L708">
        <v>10</v>
      </c>
      <c r="M708">
        <v>6.9626000000000001</v>
      </c>
      <c r="P708" t="s">
        <v>33</v>
      </c>
      <c r="Q708">
        <v>0</v>
      </c>
      <c r="R708" t="s">
        <v>1272</v>
      </c>
      <c r="S708" s="1" t="s">
        <v>1334</v>
      </c>
    </row>
    <row r="709" spans="1:19" hidden="1" x14ac:dyDescent="0.3">
      <c r="A709" t="s">
        <v>919</v>
      </c>
      <c r="B709" t="s">
        <v>920</v>
      </c>
      <c r="C709" t="s">
        <v>731</v>
      </c>
      <c r="D709">
        <v>20776</v>
      </c>
      <c r="E709" t="s">
        <v>739</v>
      </c>
      <c r="F709" t="s">
        <v>740</v>
      </c>
      <c r="G709" t="s">
        <v>741</v>
      </c>
      <c r="H709" t="s">
        <v>742</v>
      </c>
      <c r="I709" t="s">
        <v>31</v>
      </c>
      <c r="J709">
        <v>386</v>
      </c>
      <c r="K709" t="s">
        <v>743</v>
      </c>
      <c r="N709">
        <v>10</v>
      </c>
      <c r="O709">
        <v>0.3301</v>
      </c>
      <c r="P709" t="s">
        <v>38</v>
      </c>
      <c r="Q709">
        <v>1</v>
      </c>
      <c r="R709" t="s">
        <v>1272</v>
      </c>
      <c r="S709" s="1" t="s">
        <v>1338</v>
      </c>
    </row>
    <row r="710" spans="1:19" hidden="1" x14ac:dyDescent="0.3">
      <c r="A710" t="s">
        <v>933</v>
      </c>
      <c r="B710" t="s">
        <v>934</v>
      </c>
      <c r="C710" t="s">
        <v>731</v>
      </c>
      <c r="D710">
        <v>11553</v>
      </c>
      <c r="E710" t="s">
        <v>623</v>
      </c>
      <c r="F710" t="s">
        <v>60</v>
      </c>
      <c r="G710" t="s">
        <v>624</v>
      </c>
      <c r="H710" t="s">
        <v>625</v>
      </c>
      <c r="I710" t="s">
        <v>31</v>
      </c>
      <c r="J710">
        <v>489</v>
      </c>
      <c r="K710" t="s">
        <v>626</v>
      </c>
      <c r="L710">
        <v>1</v>
      </c>
      <c r="M710">
        <v>14.6807</v>
      </c>
      <c r="P710" t="s">
        <v>33</v>
      </c>
      <c r="Q710">
        <v>1</v>
      </c>
      <c r="R710" t="s">
        <v>1272</v>
      </c>
      <c r="S710" s="1" t="s">
        <v>1335</v>
      </c>
    </row>
    <row r="711" spans="1:19" hidden="1" x14ac:dyDescent="0.3">
      <c r="A711" t="s">
        <v>933</v>
      </c>
      <c r="B711" t="s">
        <v>934</v>
      </c>
      <c r="C711" t="s">
        <v>731</v>
      </c>
      <c r="D711">
        <v>13674</v>
      </c>
      <c r="E711" t="s">
        <v>78</v>
      </c>
      <c r="F711" t="s">
        <v>22</v>
      </c>
      <c r="G711" t="s">
        <v>79</v>
      </c>
      <c r="H711" t="s">
        <v>80</v>
      </c>
      <c r="I711" t="s">
        <v>31</v>
      </c>
      <c r="J711">
        <v>1127</v>
      </c>
      <c r="K711" t="s">
        <v>81</v>
      </c>
      <c r="L711">
        <v>3</v>
      </c>
      <c r="M711">
        <v>12.4727</v>
      </c>
      <c r="N711">
        <v>1</v>
      </c>
      <c r="O711">
        <v>0.42720000000000002</v>
      </c>
      <c r="P711" t="s">
        <v>27</v>
      </c>
      <c r="Q711">
        <v>2</v>
      </c>
      <c r="R711" t="s">
        <v>1272</v>
      </c>
      <c r="S711" s="1" t="s">
        <v>1280</v>
      </c>
    </row>
    <row r="712" spans="1:19" hidden="1" x14ac:dyDescent="0.3">
      <c r="A712" t="s">
        <v>933</v>
      </c>
      <c r="B712" t="s">
        <v>934</v>
      </c>
      <c r="C712" t="s">
        <v>731</v>
      </c>
      <c r="D712">
        <v>13535</v>
      </c>
      <c r="E712" t="s">
        <v>771</v>
      </c>
      <c r="F712" t="s">
        <v>60</v>
      </c>
      <c r="G712" t="s">
        <v>772</v>
      </c>
      <c r="H712" t="s">
        <v>773</v>
      </c>
      <c r="I712" t="s">
        <v>31</v>
      </c>
      <c r="J712">
        <v>234</v>
      </c>
      <c r="K712" t="s">
        <v>774</v>
      </c>
      <c r="N712">
        <v>2</v>
      </c>
      <c r="O712">
        <v>0.40500000000000003</v>
      </c>
      <c r="P712" t="s">
        <v>38</v>
      </c>
      <c r="Q712">
        <v>1</v>
      </c>
      <c r="R712" t="s">
        <v>1272</v>
      </c>
      <c r="S712" s="1" t="s">
        <v>1335</v>
      </c>
    </row>
    <row r="713" spans="1:19" hidden="1" x14ac:dyDescent="0.3">
      <c r="A713" t="s">
        <v>933</v>
      </c>
      <c r="B713" t="s">
        <v>934</v>
      </c>
      <c r="C713" t="s">
        <v>731</v>
      </c>
      <c r="D713">
        <v>15905</v>
      </c>
      <c r="E713" t="s">
        <v>262</v>
      </c>
      <c r="F713" t="s">
        <v>60</v>
      </c>
      <c r="G713" t="s">
        <v>263</v>
      </c>
      <c r="H713" t="s">
        <v>264</v>
      </c>
      <c r="I713" t="s">
        <v>31</v>
      </c>
      <c r="J713">
        <v>772</v>
      </c>
      <c r="K713" t="s">
        <v>265</v>
      </c>
      <c r="L713">
        <v>2</v>
      </c>
      <c r="M713">
        <v>13.604699999999999</v>
      </c>
      <c r="P713" t="s">
        <v>33</v>
      </c>
      <c r="Q713">
        <v>1</v>
      </c>
      <c r="R713" t="s">
        <v>1272</v>
      </c>
      <c r="S713" s="1" t="s">
        <v>1335</v>
      </c>
    </row>
    <row r="714" spans="1:19" hidden="1" x14ac:dyDescent="0.3">
      <c r="A714" t="s">
        <v>933</v>
      </c>
      <c r="B714" t="s">
        <v>934</v>
      </c>
      <c r="C714" t="s">
        <v>731</v>
      </c>
      <c r="D714">
        <v>14684</v>
      </c>
      <c r="E714" t="s">
        <v>847</v>
      </c>
      <c r="F714" t="s">
        <v>60</v>
      </c>
      <c r="G714" t="s">
        <v>61</v>
      </c>
      <c r="H714" t="s">
        <v>848</v>
      </c>
      <c r="I714" t="s">
        <v>25</v>
      </c>
      <c r="J714">
        <v>1309</v>
      </c>
      <c r="K714" t="s">
        <v>849</v>
      </c>
      <c r="N714">
        <v>3</v>
      </c>
      <c r="O714">
        <v>0.40229999999999999</v>
      </c>
      <c r="P714" t="s">
        <v>38</v>
      </c>
      <c r="Q714">
        <v>1</v>
      </c>
      <c r="R714" t="s">
        <v>1272</v>
      </c>
      <c r="S714" s="1" t="s">
        <v>1335</v>
      </c>
    </row>
    <row r="715" spans="1:19" hidden="1" x14ac:dyDescent="0.3">
      <c r="A715" t="s">
        <v>933</v>
      </c>
      <c r="B715" t="s">
        <v>934</v>
      </c>
      <c r="C715" t="s">
        <v>731</v>
      </c>
      <c r="D715">
        <v>17365</v>
      </c>
      <c r="E715" t="s">
        <v>578</v>
      </c>
      <c r="F715" t="s">
        <v>60</v>
      </c>
      <c r="G715" t="s">
        <v>579</v>
      </c>
      <c r="H715" t="s">
        <v>580</v>
      </c>
      <c r="I715" t="s">
        <v>31</v>
      </c>
      <c r="J715">
        <v>1906</v>
      </c>
      <c r="K715" t="s">
        <v>581</v>
      </c>
      <c r="L715">
        <v>4</v>
      </c>
      <c r="M715">
        <v>12.3184</v>
      </c>
      <c r="P715" t="s">
        <v>33</v>
      </c>
      <c r="Q715">
        <v>0</v>
      </c>
      <c r="R715" t="s">
        <v>1272</v>
      </c>
      <c r="S715" s="1" t="s">
        <v>1334</v>
      </c>
    </row>
    <row r="716" spans="1:19" hidden="1" x14ac:dyDescent="0.3">
      <c r="A716" t="s">
        <v>933</v>
      </c>
      <c r="B716" t="s">
        <v>934</v>
      </c>
      <c r="C716" t="s">
        <v>731</v>
      </c>
      <c r="D716">
        <v>20773</v>
      </c>
      <c r="E716" t="s">
        <v>109</v>
      </c>
      <c r="F716" t="s">
        <v>60</v>
      </c>
      <c r="G716" t="s">
        <v>41</v>
      </c>
      <c r="H716" t="s">
        <v>110</v>
      </c>
      <c r="I716" t="s">
        <v>25</v>
      </c>
      <c r="J716">
        <v>1156</v>
      </c>
      <c r="K716" t="s">
        <v>111</v>
      </c>
      <c r="N716">
        <v>4</v>
      </c>
      <c r="O716">
        <v>0.39739999999999998</v>
      </c>
      <c r="P716" t="s">
        <v>38</v>
      </c>
      <c r="Q716">
        <v>0</v>
      </c>
      <c r="R716" t="s">
        <v>1272</v>
      </c>
      <c r="S716" s="1" t="s">
        <v>1334</v>
      </c>
    </row>
    <row r="717" spans="1:19" hidden="1" x14ac:dyDescent="0.3">
      <c r="A717" t="s">
        <v>933</v>
      </c>
      <c r="B717" t="s">
        <v>934</v>
      </c>
      <c r="C717" t="s">
        <v>731</v>
      </c>
      <c r="D717">
        <v>13905</v>
      </c>
      <c r="E717" t="s">
        <v>935</v>
      </c>
      <c r="F717" t="s">
        <v>60</v>
      </c>
      <c r="G717" t="s">
        <v>936</v>
      </c>
      <c r="H717" t="s">
        <v>937</v>
      </c>
      <c r="I717" t="s">
        <v>31</v>
      </c>
      <c r="J717">
        <v>591</v>
      </c>
      <c r="K717" t="s">
        <v>938</v>
      </c>
      <c r="L717">
        <v>5</v>
      </c>
      <c r="M717">
        <v>11.842700000000001</v>
      </c>
      <c r="P717" t="s">
        <v>33</v>
      </c>
      <c r="Q717">
        <v>2</v>
      </c>
      <c r="R717" t="s">
        <v>1272</v>
      </c>
      <c r="S717" s="1" t="s">
        <v>1280</v>
      </c>
    </row>
    <row r="718" spans="1:19" hidden="1" x14ac:dyDescent="0.3">
      <c r="A718" t="s">
        <v>933</v>
      </c>
      <c r="B718" t="s">
        <v>934</v>
      </c>
      <c r="C718" t="s">
        <v>731</v>
      </c>
      <c r="D718">
        <v>18885</v>
      </c>
      <c r="E718" t="s">
        <v>86</v>
      </c>
      <c r="F718" t="s">
        <v>60</v>
      </c>
      <c r="G718" t="s">
        <v>87</v>
      </c>
      <c r="H718" t="s">
        <v>88</v>
      </c>
      <c r="I718" t="s">
        <v>31</v>
      </c>
      <c r="J718">
        <v>596</v>
      </c>
      <c r="K718" t="s">
        <v>89</v>
      </c>
      <c r="N718">
        <v>5</v>
      </c>
      <c r="O718">
        <v>0.39510000000000001</v>
      </c>
      <c r="P718" t="s">
        <v>38</v>
      </c>
      <c r="Q718">
        <v>1</v>
      </c>
      <c r="R718" t="s">
        <v>1272</v>
      </c>
      <c r="S718" s="1" t="s">
        <v>1335</v>
      </c>
    </row>
    <row r="719" spans="1:19" hidden="1" x14ac:dyDescent="0.3">
      <c r="A719" t="s">
        <v>933</v>
      </c>
      <c r="B719" t="s">
        <v>934</v>
      </c>
      <c r="C719" t="s">
        <v>731</v>
      </c>
      <c r="D719">
        <v>11918</v>
      </c>
      <c r="E719" t="s">
        <v>133</v>
      </c>
      <c r="F719" t="s">
        <v>60</v>
      </c>
      <c r="G719" t="s">
        <v>134</v>
      </c>
      <c r="H719" t="s">
        <v>135</v>
      </c>
      <c r="I719" t="s">
        <v>25</v>
      </c>
      <c r="J719">
        <v>3604</v>
      </c>
      <c r="K719" t="s">
        <v>136</v>
      </c>
      <c r="L719">
        <v>6</v>
      </c>
      <c r="M719">
        <v>11.3963</v>
      </c>
      <c r="P719" t="s">
        <v>33</v>
      </c>
      <c r="Q719">
        <v>1</v>
      </c>
      <c r="R719" t="s">
        <v>1272</v>
      </c>
      <c r="S719" s="1" t="s">
        <v>1335</v>
      </c>
    </row>
    <row r="720" spans="1:19" hidden="1" x14ac:dyDescent="0.3">
      <c r="A720" t="s">
        <v>933</v>
      </c>
      <c r="B720" t="s">
        <v>934</v>
      </c>
      <c r="C720" t="s">
        <v>731</v>
      </c>
      <c r="D720">
        <v>14198</v>
      </c>
      <c r="E720" t="s">
        <v>73</v>
      </c>
      <c r="F720" t="s">
        <v>74</v>
      </c>
      <c r="G720" t="s">
        <v>75</v>
      </c>
      <c r="H720" t="s">
        <v>76</v>
      </c>
      <c r="I720" t="s">
        <v>31</v>
      </c>
      <c r="J720">
        <v>377</v>
      </c>
      <c r="K720" t="s">
        <v>77</v>
      </c>
      <c r="N720">
        <v>6</v>
      </c>
      <c r="O720">
        <v>0.39079999999999998</v>
      </c>
      <c r="P720" t="s">
        <v>38</v>
      </c>
      <c r="Q720">
        <v>1</v>
      </c>
      <c r="R720" t="s">
        <v>1272</v>
      </c>
      <c r="S720" s="1" t="s">
        <v>1335</v>
      </c>
    </row>
    <row r="721" spans="1:19" hidden="1" x14ac:dyDescent="0.3">
      <c r="A721" t="s">
        <v>933</v>
      </c>
      <c r="B721" t="s">
        <v>934</v>
      </c>
      <c r="C721" t="s">
        <v>731</v>
      </c>
      <c r="D721">
        <v>8524</v>
      </c>
      <c r="E721" t="s">
        <v>676</v>
      </c>
      <c r="F721" t="s">
        <v>668</v>
      </c>
      <c r="G721" t="s">
        <v>677</v>
      </c>
      <c r="H721" t="s">
        <v>678</v>
      </c>
      <c r="I721" t="s">
        <v>25</v>
      </c>
      <c r="J721">
        <v>226</v>
      </c>
      <c r="K721" t="s">
        <v>679</v>
      </c>
      <c r="N721">
        <v>7</v>
      </c>
      <c r="O721">
        <v>0.38869999999999999</v>
      </c>
      <c r="P721" t="s">
        <v>38</v>
      </c>
      <c r="Q721">
        <v>1</v>
      </c>
      <c r="R721" t="s">
        <v>1272</v>
      </c>
      <c r="S721" s="1" t="s">
        <v>1335</v>
      </c>
    </row>
    <row r="722" spans="1:19" hidden="1" x14ac:dyDescent="0.3">
      <c r="A722" t="s">
        <v>933</v>
      </c>
      <c r="B722" t="s">
        <v>934</v>
      </c>
      <c r="C722" t="s">
        <v>731</v>
      </c>
      <c r="D722">
        <v>13561</v>
      </c>
      <c r="E722" t="s">
        <v>832</v>
      </c>
      <c r="F722" t="s">
        <v>60</v>
      </c>
      <c r="G722" t="s">
        <v>833</v>
      </c>
      <c r="H722" t="s">
        <v>834</v>
      </c>
      <c r="I722" t="s">
        <v>31</v>
      </c>
      <c r="J722">
        <v>498</v>
      </c>
      <c r="K722" t="s">
        <v>835</v>
      </c>
      <c r="L722">
        <v>7</v>
      </c>
      <c r="M722">
        <v>11.1715</v>
      </c>
      <c r="P722" t="s">
        <v>33</v>
      </c>
      <c r="Q722">
        <v>1</v>
      </c>
      <c r="R722" t="s">
        <v>1272</v>
      </c>
      <c r="S722" s="1" t="s">
        <v>1335</v>
      </c>
    </row>
    <row r="723" spans="1:19" hidden="1" x14ac:dyDescent="0.3">
      <c r="A723" t="s">
        <v>933</v>
      </c>
      <c r="B723" t="s">
        <v>934</v>
      </c>
      <c r="C723" t="s">
        <v>731</v>
      </c>
      <c r="D723">
        <v>15013</v>
      </c>
      <c r="E723" t="s">
        <v>59</v>
      </c>
      <c r="F723" t="s">
        <v>60</v>
      </c>
      <c r="G723" t="s">
        <v>61</v>
      </c>
      <c r="H723" t="s">
        <v>62</v>
      </c>
      <c r="I723" t="s">
        <v>25</v>
      </c>
      <c r="J723">
        <v>550</v>
      </c>
      <c r="K723" t="s">
        <v>63</v>
      </c>
      <c r="N723">
        <v>8</v>
      </c>
      <c r="O723">
        <v>0.3881</v>
      </c>
      <c r="P723" t="s">
        <v>38</v>
      </c>
      <c r="Q723">
        <v>1</v>
      </c>
      <c r="R723" t="s">
        <v>1272</v>
      </c>
      <c r="S723" t="s">
        <v>1340</v>
      </c>
    </row>
    <row r="724" spans="1:19" hidden="1" x14ac:dyDescent="0.3">
      <c r="A724" t="s">
        <v>933</v>
      </c>
      <c r="B724" t="s">
        <v>934</v>
      </c>
      <c r="C724" t="s">
        <v>731</v>
      </c>
      <c r="D724">
        <v>16838</v>
      </c>
      <c r="E724" t="s">
        <v>129</v>
      </c>
      <c r="F724" t="s">
        <v>60</v>
      </c>
      <c r="G724" t="s">
        <v>130</v>
      </c>
      <c r="H724" t="s">
        <v>131</v>
      </c>
      <c r="I724" t="s">
        <v>31</v>
      </c>
      <c r="J724">
        <v>3435</v>
      </c>
      <c r="K724" t="s">
        <v>132</v>
      </c>
      <c r="L724">
        <v>8</v>
      </c>
      <c r="M724">
        <v>10.699199999999999</v>
      </c>
      <c r="P724" t="s">
        <v>33</v>
      </c>
      <c r="Q724">
        <v>1</v>
      </c>
      <c r="R724" t="s">
        <v>1272</v>
      </c>
      <c r="S724" s="1" t="s">
        <v>1335</v>
      </c>
    </row>
    <row r="725" spans="1:19" hidden="1" x14ac:dyDescent="0.3">
      <c r="A725" t="s">
        <v>933</v>
      </c>
      <c r="B725" t="s">
        <v>934</v>
      </c>
      <c r="C725" t="s">
        <v>731</v>
      </c>
      <c r="D725">
        <v>2818</v>
      </c>
      <c r="E725" t="s">
        <v>560</v>
      </c>
      <c r="F725" t="s">
        <v>22</v>
      </c>
      <c r="G725" t="s">
        <v>438</v>
      </c>
      <c r="H725" t="s">
        <v>561</v>
      </c>
      <c r="I725" t="s">
        <v>31</v>
      </c>
      <c r="J725">
        <v>2307</v>
      </c>
      <c r="K725" t="s">
        <v>562</v>
      </c>
      <c r="N725">
        <v>9</v>
      </c>
      <c r="O725">
        <v>0.3871</v>
      </c>
      <c r="P725" t="s">
        <v>38</v>
      </c>
      <c r="Q725">
        <v>1</v>
      </c>
      <c r="R725" t="s">
        <v>1272</v>
      </c>
      <c r="S725" s="1" t="s">
        <v>1335</v>
      </c>
    </row>
    <row r="726" spans="1:19" hidden="1" x14ac:dyDescent="0.3">
      <c r="A726" t="s">
        <v>933</v>
      </c>
      <c r="B726" t="s">
        <v>934</v>
      </c>
      <c r="C726" t="s">
        <v>731</v>
      </c>
      <c r="D726">
        <v>16928</v>
      </c>
      <c r="E726" t="s">
        <v>631</v>
      </c>
      <c r="F726" t="s">
        <v>155</v>
      </c>
      <c r="G726" t="s">
        <v>632</v>
      </c>
      <c r="H726" t="s">
        <v>633</v>
      </c>
      <c r="I726" t="s">
        <v>31</v>
      </c>
      <c r="J726">
        <v>1048</v>
      </c>
      <c r="K726" t="s">
        <v>634</v>
      </c>
      <c r="L726">
        <v>9</v>
      </c>
      <c r="M726">
        <v>10.6675</v>
      </c>
      <c r="P726" t="s">
        <v>33</v>
      </c>
      <c r="Q726">
        <v>0</v>
      </c>
      <c r="R726" t="s">
        <v>1272</v>
      </c>
      <c r="S726" s="1" t="s">
        <v>1334</v>
      </c>
    </row>
    <row r="727" spans="1:19" hidden="1" x14ac:dyDescent="0.3">
      <c r="A727" t="s">
        <v>933</v>
      </c>
      <c r="B727" t="s">
        <v>934</v>
      </c>
      <c r="C727" t="s">
        <v>731</v>
      </c>
      <c r="D727">
        <v>18613</v>
      </c>
      <c r="E727" t="s">
        <v>939</v>
      </c>
      <c r="F727" t="s">
        <v>60</v>
      </c>
      <c r="H727" t="s">
        <v>940</v>
      </c>
      <c r="I727" t="s">
        <v>25</v>
      </c>
      <c r="J727">
        <v>2215</v>
      </c>
      <c r="K727" t="s">
        <v>941</v>
      </c>
      <c r="L727">
        <v>10</v>
      </c>
      <c r="M727">
        <v>10.5747</v>
      </c>
      <c r="P727" t="s">
        <v>33</v>
      </c>
      <c r="Q727">
        <v>1</v>
      </c>
      <c r="R727" t="s">
        <v>1272</v>
      </c>
      <c r="S727" s="1" t="s">
        <v>1335</v>
      </c>
    </row>
    <row r="728" spans="1:19" hidden="1" x14ac:dyDescent="0.3">
      <c r="A728" t="s">
        <v>933</v>
      </c>
      <c r="B728" t="s">
        <v>934</v>
      </c>
      <c r="C728" t="s">
        <v>731</v>
      </c>
      <c r="D728">
        <v>20259</v>
      </c>
      <c r="E728" t="s">
        <v>49</v>
      </c>
      <c r="F728" t="s">
        <v>50</v>
      </c>
      <c r="G728" t="s">
        <v>51</v>
      </c>
      <c r="H728" t="s">
        <v>52</v>
      </c>
      <c r="I728" t="s">
        <v>25</v>
      </c>
      <c r="J728">
        <v>313</v>
      </c>
      <c r="K728" t="s">
        <v>53</v>
      </c>
      <c r="N728">
        <v>10</v>
      </c>
      <c r="O728">
        <v>0.38700000000000001</v>
      </c>
      <c r="P728" t="s">
        <v>38</v>
      </c>
      <c r="Q728">
        <v>1</v>
      </c>
      <c r="R728" t="s">
        <v>1272</v>
      </c>
      <c r="S728" s="1" t="s">
        <v>1335</v>
      </c>
    </row>
    <row r="729" spans="1:19" hidden="1" x14ac:dyDescent="0.3">
      <c r="A729" t="s">
        <v>942</v>
      </c>
      <c r="B729" t="s">
        <v>943</v>
      </c>
      <c r="C729" t="s">
        <v>944</v>
      </c>
      <c r="D729">
        <v>14198</v>
      </c>
      <c r="E729" t="s">
        <v>73</v>
      </c>
      <c r="F729" t="s">
        <v>74</v>
      </c>
      <c r="G729" t="s">
        <v>75</v>
      </c>
      <c r="H729" t="s">
        <v>76</v>
      </c>
      <c r="I729" t="s">
        <v>31</v>
      </c>
      <c r="J729">
        <v>377</v>
      </c>
      <c r="K729" t="s">
        <v>77</v>
      </c>
      <c r="L729">
        <v>1</v>
      </c>
      <c r="M729">
        <v>7.0949</v>
      </c>
      <c r="N729">
        <v>7</v>
      </c>
      <c r="O729">
        <v>0.39489999999999997</v>
      </c>
      <c r="P729" t="s">
        <v>27</v>
      </c>
      <c r="Q729">
        <v>1</v>
      </c>
      <c r="R729" t="s">
        <v>1272</v>
      </c>
      <c r="S729" s="1" t="s">
        <v>1335</v>
      </c>
    </row>
    <row r="730" spans="1:19" hidden="1" x14ac:dyDescent="0.3">
      <c r="A730" t="s">
        <v>942</v>
      </c>
      <c r="B730" t="s">
        <v>943</v>
      </c>
      <c r="C730" t="s">
        <v>944</v>
      </c>
      <c r="D730">
        <v>16388</v>
      </c>
      <c r="E730" t="s">
        <v>240</v>
      </c>
      <c r="F730" t="s">
        <v>74</v>
      </c>
      <c r="G730" t="s">
        <v>241</v>
      </c>
      <c r="H730" t="s">
        <v>242</v>
      </c>
      <c r="I730" t="s">
        <v>25</v>
      </c>
      <c r="J730">
        <v>246</v>
      </c>
      <c r="K730" t="s">
        <v>243</v>
      </c>
      <c r="N730">
        <v>1</v>
      </c>
      <c r="O730">
        <v>0.40789999999999998</v>
      </c>
      <c r="P730" t="s">
        <v>38</v>
      </c>
      <c r="Q730">
        <v>1</v>
      </c>
      <c r="R730" t="s">
        <v>1272</v>
      </c>
      <c r="S730" s="1" t="s">
        <v>1335</v>
      </c>
    </row>
    <row r="731" spans="1:19" hidden="1" x14ac:dyDescent="0.3">
      <c r="A731" t="s">
        <v>942</v>
      </c>
      <c r="B731" t="s">
        <v>943</v>
      </c>
      <c r="C731" t="s">
        <v>944</v>
      </c>
      <c r="D731">
        <v>9821</v>
      </c>
      <c r="E731" t="s">
        <v>21</v>
      </c>
      <c r="F731" t="s">
        <v>22</v>
      </c>
      <c r="G731" t="s">
        <v>23</v>
      </c>
      <c r="H731" t="s">
        <v>24</v>
      </c>
      <c r="I731" t="s">
        <v>25</v>
      </c>
      <c r="J731">
        <v>998</v>
      </c>
      <c r="K731" t="s">
        <v>26</v>
      </c>
      <c r="N731">
        <v>2</v>
      </c>
      <c r="O731">
        <v>0.40720000000000001</v>
      </c>
      <c r="P731" t="s">
        <v>38</v>
      </c>
      <c r="Q731">
        <v>1</v>
      </c>
      <c r="R731" t="s">
        <v>1272</v>
      </c>
      <c r="S731" s="1" t="s">
        <v>1335</v>
      </c>
    </row>
    <row r="732" spans="1:19" hidden="1" x14ac:dyDescent="0.3">
      <c r="A732" t="s">
        <v>942</v>
      </c>
      <c r="B732" t="s">
        <v>943</v>
      </c>
      <c r="C732" t="s">
        <v>944</v>
      </c>
      <c r="D732">
        <v>19982</v>
      </c>
      <c r="E732" t="s">
        <v>28</v>
      </c>
      <c r="F732" t="s">
        <v>22</v>
      </c>
      <c r="G732" t="s">
        <v>29</v>
      </c>
      <c r="H732" t="s">
        <v>30</v>
      </c>
      <c r="I732" t="s">
        <v>31</v>
      </c>
      <c r="J732">
        <v>543</v>
      </c>
      <c r="K732" t="s">
        <v>32</v>
      </c>
      <c r="L732">
        <v>2</v>
      </c>
      <c r="M732">
        <v>6.9344999999999999</v>
      </c>
      <c r="P732" t="s">
        <v>33</v>
      </c>
      <c r="Q732">
        <v>1</v>
      </c>
      <c r="R732" t="s">
        <v>1272</v>
      </c>
      <c r="S732" s="1" t="s">
        <v>1335</v>
      </c>
    </row>
    <row r="733" spans="1:19" hidden="1" x14ac:dyDescent="0.3">
      <c r="A733" t="s">
        <v>942</v>
      </c>
      <c r="B733" t="s">
        <v>943</v>
      </c>
      <c r="C733" t="s">
        <v>944</v>
      </c>
      <c r="D733">
        <v>4828</v>
      </c>
      <c r="E733" t="s">
        <v>54</v>
      </c>
      <c r="F733" t="s">
        <v>55</v>
      </c>
      <c r="G733" t="s">
        <v>56</v>
      </c>
      <c r="H733" t="s">
        <v>57</v>
      </c>
      <c r="I733" t="s">
        <v>25</v>
      </c>
      <c r="J733">
        <v>546</v>
      </c>
      <c r="K733" t="s">
        <v>58</v>
      </c>
      <c r="L733">
        <v>3</v>
      </c>
      <c r="M733">
        <v>6.7042000000000002</v>
      </c>
      <c r="P733" t="s">
        <v>33</v>
      </c>
      <c r="Q733">
        <v>0</v>
      </c>
      <c r="R733" t="s">
        <v>1272</v>
      </c>
      <c r="S733" s="1" t="s">
        <v>1334</v>
      </c>
    </row>
    <row r="734" spans="1:19" hidden="1" x14ac:dyDescent="0.3">
      <c r="A734" t="s">
        <v>942</v>
      </c>
      <c r="B734" t="s">
        <v>943</v>
      </c>
      <c r="C734" t="s">
        <v>944</v>
      </c>
      <c r="D734">
        <v>19019</v>
      </c>
      <c r="E734" t="s">
        <v>296</v>
      </c>
      <c r="F734" t="s">
        <v>297</v>
      </c>
      <c r="G734" t="s">
        <v>298</v>
      </c>
      <c r="H734" t="s">
        <v>299</v>
      </c>
      <c r="I734" t="s">
        <v>25</v>
      </c>
      <c r="J734">
        <v>999</v>
      </c>
      <c r="K734" t="s">
        <v>300</v>
      </c>
      <c r="N734">
        <v>3</v>
      </c>
      <c r="O734">
        <v>0.40300000000000002</v>
      </c>
      <c r="P734" t="s">
        <v>38</v>
      </c>
      <c r="Q734">
        <v>1</v>
      </c>
      <c r="R734" t="s">
        <v>1272</v>
      </c>
      <c r="S734" s="1" t="s">
        <v>1335</v>
      </c>
    </row>
    <row r="735" spans="1:19" hidden="1" x14ac:dyDescent="0.3">
      <c r="A735" t="s">
        <v>942</v>
      </c>
      <c r="B735" t="s">
        <v>943</v>
      </c>
      <c r="C735" t="s">
        <v>944</v>
      </c>
      <c r="D735">
        <v>13514</v>
      </c>
      <c r="E735" t="s">
        <v>64</v>
      </c>
      <c r="F735" t="s">
        <v>60</v>
      </c>
      <c r="G735" t="s">
        <v>65</v>
      </c>
      <c r="H735" t="s">
        <v>66</v>
      </c>
      <c r="I735" t="s">
        <v>31</v>
      </c>
      <c r="J735">
        <v>587</v>
      </c>
      <c r="K735" t="s">
        <v>67</v>
      </c>
      <c r="N735">
        <v>4</v>
      </c>
      <c r="O735">
        <v>0.40289999999999998</v>
      </c>
      <c r="P735" t="s">
        <v>38</v>
      </c>
      <c r="Q735">
        <v>1</v>
      </c>
      <c r="R735" t="s">
        <v>1272</v>
      </c>
      <c r="S735" s="1" t="s">
        <v>1335</v>
      </c>
    </row>
    <row r="736" spans="1:19" hidden="1" x14ac:dyDescent="0.3">
      <c r="A736" t="s">
        <v>942</v>
      </c>
      <c r="B736" t="s">
        <v>943</v>
      </c>
      <c r="C736" t="s">
        <v>944</v>
      </c>
      <c r="D736">
        <v>19064</v>
      </c>
      <c r="E736" t="s">
        <v>551</v>
      </c>
      <c r="F736" t="s">
        <v>552</v>
      </c>
      <c r="G736" t="s">
        <v>405</v>
      </c>
      <c r="H736" t="s">
        <v>553</v>
      </c>
      <c r="I736" t="s">
        <v>31</v>
      </c>
      <c r="J736">
        <v>1167</v>
      </c>
      <c r="K736" t="s">
        <v>554</v>
      </c>
      <c r="L736">
        <v>4</v>
      </c>
      <c r="M736">
        <v>6.2178000000000004</v>
      </c>
      <c r="P736" t="s">
        <v>33</v>
      </c>
      <c r="Q736">
        <v>1</v>
      </c>
      <c r="R736" t="s">
        <v>1272</v>
      </c>
      <c r="S736" s="1" t="s">
        <v>1335</v>
      </c>
    </row>
    <row r="737" spans="1:19" hidden="1" x14ac:dyDescent="0.3">
      <c r="A737" t="s">
        <v>942</v>
      </c>
      <c r="B737" t="s">
        <v>943</v>
      </c>
      <c r="C737" t="s">
        <v>944</v>
      </c>
      <c r="D737">
        <v>15013</v>
      </c>
      <c r="E737" t="s">
        <v>59</v>
      </c>
      <c r="F737" t="s">
        <v>60</v>
      </c>
      <c r="G737" t="s">
        <v>61</v>
      </c>
      <c r="H737" t="s">
        <v>62</v>
      </c>
      <c r="I737" t="s">
        <v>25</v>
      </c>
      <c r="J737">
        <v>550</v>
      </c>
      <c r="K737" t="s">
        <v>63</v>
      </c>
      <c r="N737">
        <v>5</v>
      </c>
      <c r="O737">
        <v>0.4012</v>
      </c>
      <c r="P737" t="s">
        <v>38</v>
      </c>
      <c r="Q737">
        <v>0</v>
      </c>
      <c r="R737" t="s">
        <v>1272</v>
      </c>
      <c r="S737" s="1" t="s">
        <v>1334</v>
      </c>
    </row>
    <row r="738" spans="1:19" hidden="1" x14ac:dyDescent="0.3">
      <c r="A738" t="s">
        <v>942</v>
      </c>
      <c r="B738" t="s">
        <v>943</v>
      </c>
      <c r="C738" t="s">
        <v>944</v>
      </c>
      <c r="D738">
        <v>20789</v>
      </c>
      <c r="E738" t="s">
        <v>39</v>
      </c>
      <c r="F738" t="s">
        <v>40</v>
      </c>
      <c r="G738" t="s">
        <v>41</v>
      </c>
      <c r="H738" t="s">
        <v>42</v>
      </c>
      <c r="I738" t="s">
        <v>25</v>
      </c>
      <c r="J738">
        <v>810</v>
      </c>
      <c r="K738" t="s">
        <v>43</v>
      </c>
      <c r="L738">
        <v>5</v>
      </c>
      <c r="M738">
        <v>6.1326999999999998</v>
      </c>
      <c r="P738" t="s">
        <v>33</v>
      </c>
      <c r="Q738">
        <v>1</v>
      </c>
      <c r="R738" t="s">
        <v>1272</v>
      </c>
      <c r="S738" s="1" t="s">
        <v>1335</v>
      </c>
    </row>
    <row r="739" spans="1:19" hidden="1" x14ac:dyDescent="0.3">
      <c r="A739" t="s">
        <v>942</v>
      </c>
      <c r="B739" t="s">
        <v>943</v>
      </c>
      <c r="C739" t="s">
        <v>944</v>
      </c>
      <c r="D739">
        <v>18422</v>
      </c>
      <c r="E739" t="s">
        <v>301</v>
      </c>
      <c r="F739" t="s">
        <v>302</v>
      </c>
      <c r="G739" t="s">
        <v>303</v>
      </c>
      <c r="H739" t="s">
        <v>304</v>
      </c>
      <c r="I739" t="s">
        <v>31</v>
      </c>
      <c r="J739">
        <v>500</v>
      </c>
      <c r="K739" t="s">
        <v>305</v>
      </c>
      <c r="N739">
        <v>6</v>
      </c>
      <c r="O739">
        <v>0.4002</v>
      </c>
      <c r="P739" t="s">
        <v>38</v>
      </c>
      <c r="Q739">
        <v>2</v>
      </c>
      <c r="R739" t="s">
        <v>1272</v>
      </c>
      <c r="S739" s="1" t="s">
        <v>1280</v>
      </c>
    </row>
    <row r="740" spans="1:19" hidden="1" x14ac:dyDescent="0.3">
      <c r="A740" t="s">
        <v>942</v>
      </c>
      <c r="B740" t="s">
        <v>943</v>
      </c>
      <c r="C740" t="s">
        <v>944</v>
      </c>
      <c r="D740">
        <v>19317</v>
      </c>
      <c r="E740" t="s">
        <v>44</v>
      </c>
      <c r="F740" t="s">
        <v>45</v>
      </c>
      <c r="G740" t="s">
        <v>46</v>
      </c>
      <c r="H740" t="s">
        <v>47</v>
      </c>
      <c r="I740" t="s">
        <v>31</v>
      </c>
      <c r="J740">
        <v>4168</v>
      </c>
      <c r="K740" t="s">
        <v>48</v>
      </c>
      <c r="L740">
        <v>6</v>
      </c>
      <c r="M740">
        <v>6.0723000000000003</v>
      </c>
      <c r="N740">
        <v>10</v>
      </c>
      <c r="O740">
        <v>0.39090000000000003</v>
      </c>
      <c r="P740" t="s">
        <v>27</v>
      </c>
      <c r="Q740">
        <v>1</v>
      </c>
      <c r="R740" t="s">
        <v>1272</v>
      </c>
      <c r="S740" s="1" t="s">
        <v>1335</v>
      </c>
    </row>
    <row r="741" spans="1:19" hidden="1" x14ac:dyDescent="0.3">
      <c r="A741" t="s">
        <v>942</v>
      </c>
      <c r="B741" t="s">
        <v>943</v>
      </c>
      <c r="C741" t="s">
        <v>944</v>
      </c>
      <c r="D741">
        <v>12297</v>
      </c>
      <c r="E741" t="s">
        <v>90</v>
      </c>
      <c r="F741" t="s">
        <v>22</v>
      </c>
      <c r="G741" t="s">
        <v>91</v>
      </c>
      <c r="H741" t="s">
        <v>92</v>
      </c>
      <c r="I741" t="s">
        <v>31</v>
      </c>
      <c r="J741">
        <v>4056</v>
      </c>
      <c r="K741" t="s">
        <v>93</v>
      </c>
      <c r="L741">
        <v>7</v>
      </c>
      <c r="M741">
        <v>5.9499000000000004</v>
      </c>
      <c r="P741" t="s">
        <v>33</v>
      </c>
      <c r="Q741">
        <v>2</v>
      </c>
      <c r="R741" t="s">
        <v>1272</v>
      </c>
      <c r="S741" s="1" t="s">
        <v>1280</v>
      </c>
    </row>
    <row r="742" spans="1:19" hidden="1" x14ac:dyDescent="0.3">
      <c r="A742" t="s">
        <v>942</v>
      </c>
      <c r="B742" t="s">
        <v>943</v>
      </c>
      <c r="C742" t="s">
        <v>944</v>
      </c>
      <c r="D742">
        <v>17365</v>
      </c>
      <c r="E742" t="s">
        <v>578</v>
      </c>
      <c r="F742" t="s">
        <v>60</v>
      </c>
      <c r="G742" t="s">
        <v>579</v>
      </c>
      <c r="H742" t="s">
        <v>580</v>
      </c>
      <c r="I742" t="s">
        <v>31</v>
      </c>
      <c r="J742">
        <v>1906</v>
      </c>
      <c r="K742" t="s">
        <v>581</v>
      </c>
      <c r="N742">
        <v>8</v>
      </c>
      <c r="O742">
        <v>0.39300000000000002</v>
      </c>
      <c r="P742" t="s">
        <v>38</v>
      </c>
      <c r="Q742">
        <v>1</v>
      </c>
      <c r="R742" t="s">
        <v>1272</v>
      </c>
      <c r="S742" s="1" t="s">
        <v>1335</v>
      </c>
    </row>
    <row r="743" spans="1:19" hidden="1" x14ac:dyDescent="0.3">
      <c r="A743" t="s">
        <v>942</v>
      </c>
      <c r="B743" t="s">
        <v>943</v>
      </c>
      <c r="C743" t="s">
        <v>944</v>
      </c>
      <c r="D743">
        <v>20034</v>
      </c>
      <c r="E743" t="s">
        <v>945</v>
      </c>
      <c r="F743" t="s">
        <v>22</v>
      </c>
      <c r="G743" t="s">
        <v>946</v>
      </c>
      <c r="H743" t="s">
        <v>947</v>
      </c>
      <c r="I743" t="s">
        <v>31</v>
      </c>
      <c r="J743">
        <v>191</v>
      </c>
      <c r="K743" t="s">
        <v>948</v>
      </c>
      <c r="L743">
        <v>8</v>
      </c>
      <c r="M743">
        <v>5.7481</v>
      </c>
      <c r="P743" t="s">
        <v>33</v>
      </c>
      <c r="Q743">
        <v>2</v>
      </c>
      <c r="R743" t="s">
        <v>1272</v>
      </c>
      <c r="S743" s="1" t="s">
        <v>1280</v>
      </c>
    </row>
    <row r="744" spans="1:19" hidden="1" x14ac:dyDescent="0.3">
      <c r="A744" t="s">
        <v>942</v>
      </c>
      <c r="B744" t="s">
        <v>943</v>
      </c>
      <c r="C744" t="s">
        <v>944</v>
      </c>
      <c r="D744">
        <v>171</v>
      </c>
      <c r="E744" t="s">
        <v>102</v>
      </c>
      <c r="F744" t="s">
        <v>103</v>
      </c>
      <c r="G744" t="s">
        <v>104</v>
      </c>
      <c r="H744" t="s">
        <v>105</v>
      </c>
      <c r="I744" t="s">
        <v>31</v>
      </c>
      <c r="J744">
        <v>474</v>
      </c>
      <c r="K744" t="s">
        <v>106</v>
      </c>
      <c r="N744">
        <v>9</v>
      </c>
      <c r="O744">
        <v>0.3921</v>
      </c>
      <c r="P744" t="s">
        <v>38</v>
      </c>
      <c r="Q744">
        <v>0</v>
      </c>
      <c r="R744" t="s">
        <v>1272</v>
      </c>
      <c r="S744" s="1" t="s">
        <v>1334</v>
      </c>
    </row>
    <row r="745" spans="1:19" hidden="1" x14ac:dyDescent="0.3">
      <c r="A745" t="s">
        <v>942</v>
      </c>
      <c r="B745" t="s">
        <v>943</v>
      </c>
      <c r="C745" t="s">
        <v>944</v>
      </c>
      <c r="D745">
        <v>19992</v>
      </c>
      <c r="E745" t="s">
        <v>408</v>
      </c>
      <c r="F745" t="s">
        <v>22</v>
      </c>
      <c r="G745" t="s">
        <v>409</v>
      </c>
      <c r="H745" t="s">
        <v>410</v>
      </c>
      <c r="I745" t="s">
        <v>31</v>
      </c>
      <c r="J745">
        <v>553</v>
      </c>
      <c r="K745" t="s">
        <v>411</v>
      </c>
      <c r="L745">
        <v>9</v>
      </c>
      <c r="M745">
        <v>5.6397000000000004</v>
      </c>
      <c r="P745" t="s">
        <v>33</v>
      </c>
      <c r="Q745">
        <v>2</v>
      </c>
      <c r="R745" t="s">
        <v>1272</v>
      </c>
      <c r="S745" s="1" t="s">
        <v>1280</v>
      </c>
    </row>
    <row r="746" spans="1:19" hidden="1" x14ac:dyDescent="0.3">
      <c r="A746" t="s">
        <v>942</v>
      </c>
      <c r="B746" t="s">
        <v>943</v>
      </c>
      <c r="C746" t="s">
        <v>944</v>
      </c>
      <c r="D746">
        <v>19312</v>
      </c>
      <c r="E746" t="s">
        <v>321</v>
      </c>
      <c r="F746" t="s">
        <v>322</v>
      </c>
      <c r="G746" t="s">
        <v>323</v>
      </c>
      <c r="H746" t="s">
        <v>324</v>
      </c>
      <c r="I746" t="s">
        <v>31</v>
      </c>
      <c r="J746">
        <v>2453</v>
      </c>
      <c r="K746" t="s">
        <v>325</v>
      </c>
      <c r="L746">
        <v>10</v>
      </c>
      <c r="M746">
        <v>5.6287000000000003</v>
      </c>
      <c r="P746" t="s">
        <v>33</v>
      </c>
      <c r="Q746">
        <v>2</v>
      </c>
      <c r="R746" t="s">
        <v>1272</v>
      </c>
      <c r="S746" s="1" t="s">
        <v>1280</v>
      </c>
    </row>
    <row r="747" spans="1:19" hidden="1" x14ac:dyDescent="0.3">
      <c r="A747" t="s">
        <v>949</v>
      </c>
      <c r="B747" t="s">
        <v>950</v>
      </c>
      <c r="C747" t="s">
        <v>944</v>
      </c>
      <c r="D747">
        <v>13514</v>
      </c>
      <c r="E747" t="s">
        <v>64</v>
      </c>
      <c r="F747" t="s">
        <v>60</v>
      </c>
      <c r="G747" t="s">
        <v>65</v>
      </c>
      <c r="H747" t="s">
        <v>66</v>
      </c>
      <c r="I747" t="s">
        <v>31</v>
      </c>
      <c r="J747">
        <v>587</v>
      </c>
      <c r="K747" t="s">
        <v>67</v>
      </c>
      <c r="N747">
        <v>1</v>
      </c>
      <c r="O747">
        <v>0.43330000000000002</v>
      </c>
      <c r="P747" t="s">
        <v>38</v>
      </c>
      <c r="Q747">
        <v>2</v>
      </c>
      <c r="R747" t="s">
        <v>1272</v>
      </c>
      <c r="S747" s="1" t="s">
        <v>1280</v>
      </c>
    </row>
    <row r="748" spans="1:19" hidden="1" x14ac:dyDescent="0.3">
      <c r="A748" t="s">
        <v>949</v>
      </c>
      <c r="B748" t="s">
        <v>950</v>
      </c>
      <c r="C748" t="s">
        <v>944</v>
      </c>
      <c r="D748">
        <v>14198</v>
      </c>
      <c r="E748" t="s">
        <v>73</v>
      </c>
      <c r="F748" t="s">
        <v>74</v>
      </c>
      <c r="G748" t="s">
        <v>75</v>
      </c>
      <c r="H748" t="s">
        <v>76</v>
      </c>
      <c r="I748" t="s">
        <v>31</v>
      </c>
      <c r="J748">
        <v>377</v>
      </c>
      <c r="K748" t="s">
        <v>77</v>
      </c>
      <c r="L748">
        <v>1</v>
      </c>
      <c r="M748">
        <v>6.4572000000000003</v>
      </c>
      <c r="P748" t="s">
        <v>33</v>
      </c>
      <c r="Q748">
        <v>1</v>
      </c>
      <c r="R748" t="s">
        <v>1272</v>
      </c>
      <c r="S748" s="1" t="s">
        <v>1335</v>
      </c>
    </row>
    <row r="749" spans="1:19" hidden="1" x14ac:dyDescent="0.3">
      <c r="A749" t="s">
        <v>949</v>
      </c>
      <c r="B749" t="s">
        <v>950</v>
      </c>
      <c r="C749" t="s">
        <v>944</v>
      </c>
      <c r="D749">
        <v>13681</v>
      </c>
      <c r="E749" t="s">
        <v>112</v>
      </c>
      <c r="F749" t="s">
        <v>74</v>
      </c>
      <c r="G749" t="s">
        <v>113</v>
      </c>
      <c r="H749" t="s">
        <v>114</v>
      </c>
      <c r="I749" t="s">
        <v>31</v>
      </c>
      <c r="J749">
        <v>580</v>
      </c>
      <c r="K749" t="s">
        <v>115</v>
      </c>
      <c r="L749">
        <v>2</v>
      </c>
      <c r="M749">
        <v>5.3426</v>
      </c>
      <c r="P749" t="s">
        <v>33</v>
      </c>
      <c r="Q749">
        <v>1</v>
      </c>
      <c r="R749" t="s">
        <v>1272</v>
      </c>
      <c r="S749" s="1" t="s">
        <v>1335</v>
      </c>
    </row>
    <row r="750" spans="1:19" hidden="1" x14ac:dyDescent="0.3">
      <c r="A750" t="s">
        <v>949</v>
      </c>
      <c r="B750" t="s">
        <v>950</v>
      </c>
      <c r="C750" t="s">
        <v>944</v>
      </c>
      <c r="D750">
        <v>17365</v>
      </c>
      <c r="E750" t="s">
        <v>578</v>
      </c>
      <c r="F750" t="s">
        <v>60</v>
      </c>
      <c r="G750" t="s">
        <v>579</v>
      </c>
      <c r="H750" t="s">
        <v>580</v>
      </c>
      <c r="I750" t="s">
        <v>31</v>
      </c>
      <c r="J750">
        <v>1906</v>
      </c>
      <c r="K750" t="s">
        <v>581</v>
      </c>
      <c r="N750">
        <v>2</v>
      </c>
      <c r="O750">
        <v>0.43070000000000003</v>
      </c>
      <c r="P750" t="s">
        <v>38</v>
      </c>
      <c r="Q750">
        <v>1</v>
      </c>
      <c r="R750" t="s">
        <v>1272</v>
      </c>
      <c r="S750" s="1" t="s">
        <v>1335</v>
      </c>
    </row>
    <row r="751" spans="1:19" hidden="1" x14ac:dyDescent="0.3">
      <c r="A751" t="s">
        <v>949</v>
      </c>
      <c r="B751" t="s">
        <v>950</v>
      </c>
      <c r="C751" t="s">
        <v>944</v>
      </c>
      <c r="D751">
        <v>9820</v>
      </c>
      <c r="E751" t="s">
        <v>150</v>
      </c>
      <c r="F751" t="s">
        <v>60</v>
      </c>
      <c r="G751" t="s">
        <v>151</v>
      </c>
      <c r="H751" t="s">
        <v>152</v>
      </c>
      <c r="I751" t="s">
        <v>25</v>
      </c>
      <c r="J751">
        <v>2512</v>
      </c>
      <c r="K751" t="s">
        <v>153</v>
      </c>
      <c r="N751">
        <v>3</v>
      </c>
      <c r="O751">
        <v>0.41959999999999997</v>
      </c>
      <c r="P751" t="s">
        <v>38</v>
      </c>
      <c r="Q751">
        <v>2</v>
      </c>
      <c r="R751" t="s">
        <v>1272</v>
      </c>
      <c r="S751" s="1" t="s">
        <v>1280</v>
      </c>
    </row>
    <row r="752" spans="1:19" hidden="1" x14ac:dyDescent="0.3">
      <c r="A752" t="s">
        <v>949</v>
      </c>
      <c r="B752" t="s">
        <v>950</v>
      </c>
      <c r="C752" t="s">
        <v>944</v>
      </c>
      <c r="D752">
        <v>20772</v>
      </c>
      <c r="E752" t="s">
        <v>292</v>
      </c>
      <c r="F752" t="s">
        <v>293</v>
      </c>
      <c r="G752" t="s">
        <v>41</v>
      </c>
      <c r="H752" t="s">
        <v>294</v>
      </c>
      <c r="I752" t="s">
        <v>25</v>
      </c>
      <c r="J752">
        <v>787</v>
      </c>
      <c r="K752" t="s">
        <v>295</v>
      </c>
      <c r="L752">
        <v>3</v>
      </c>
      <c r="M752">
        <v>4.8216999999999999</v>
      </c>
      <c r="P752" t="s">
        <v>33</v>
      </c>
      <c r="Q752">
        <v>2</v>
      </c>
      <c r="R752" t="s">
        <v>1272</v>
      </c>
      <c r="S752" s="1" t="s">
        <v>1280</v>
      </c>
    </row>
    <row r="753" spans="1:19" hidden="1" x14ac:dyDescent="0.3">
      <c r="A753" t="s">
        <v>949</v>
      </c>
      <c r="B753" t="s">
        <v>950</v>
      </c>
      <c r="C753" t="s">
        <v>944</v>
      </c>
      <c r="D753">
        <v>2385</v>
      </c>
      <c r="E753" t="s">
        <v>284</v>
      </c>
      <c r="F753" t="s">
        <v>60</v>
      </c>
      <c r="G753" t="s">
        <v>41</v>
      </c>
      <c r="H753" t="s">
        <v>285</v>
      </c>
      <c r="I753" t="s">
        <v>25</v>
      </c>
      <c r="J753">
        <v>1160</v>
      </c>
      <c r="K753" t="s">
        <v>286</v>
      </c>
      <c r="N753">
        <v>4</v>
      </c>
      <c r="O753">
        <v>0.41870000000000002</v>
      </c>
      <c r="P753" t="s">
        <v>38</v>
      </c>
      <c r="Q753">
        <v>2</v>
      </c>
      <c r="R753" t="s">
        <v>1272</v>
      </c>
      <c r="S753" s="1" t="s">
        <v>1280</v>
      </c>
    </row>
    <row r="754" spans="1:19" hidden="1" x14ac:dyDescent="0.3">
      <c r="A754" t="s">
        <v>949</v>
      </c>
      <c r="B754" t="s">
        <v>950</v>
      </c>
      <c r="C754" t="s">
        <v>944</v>
      </c>
      <c r="D754">
        <v>18746</v>
      </c>
      <c r="E754" t="s">
        <v>253</v>
      </c>
      <c r="F754" t="s">
        <v>254</v>
      </c>
      <c r="G754" t="s">
        <v>255</v>
      </c>
      <c r="H754" t="s">
        <v>256</v>
      </c>
      <c r="I754" t="s">
        <v>25</v>
      </c>
      <c r="J754">
        <v>1493</v>
      </c>
      <c r="K754" t="s">
        <v>257</v>
      </c>
      <c r="L754">
        <v>4</v>
      </c>
      <c r="M754">
        <v>4.8215000000000003</v>
      </c>
      <c r="P754" t="s">
        <v>33</v>
      </c>
      <c r="Q754">
        <v>2</v>
      </c>
      <c r="R754" t="s">
        <v>1272</v>
      </c>
      <c r="S754" s="1" t="s">
        <v>1280</v>
      </c>
    </row>
    <row r="755" spans="1:19" hidden="1" x14ac:dyDescent="0.3">
      <c r="A755" t="s">
        <v>949</v>
      </c>
      <c r="B755" t="s">
        <v>950</v>
      </c>
      <c r="C755" t="s">
        <v>944</v>
      </c>
      <c r="D755">
        <v>6637</v>
      </c>
      <c r="E755" t="s">
        <v>735</v>
      </c>
      <c r="F755" t="s">
        <v>60</v>
      </c>
      <c r="G755" t="s">
        <v>736</v>
      </c>
      <c r="H755" t="s">
        <v>737</v>
      </c>
      <c r="I755" t="s">
        <v>25</v>
      </c>
      <c r="J755">
        <v>1382</v>
      </c>
      <c r="K755" t="s">
        <v>738</v>
      </c>
      <c r="N755">
        <v>5</v>
      </c>
      <c r="O755">
        <v>0.41810000000000003</v>
      </c>
      <c r="P755" t="s">
        <v>38</v>
      </c>
      <c r="Q755">
        <v>2</v>
      </c>
      <c r="R755" t="s">
        <v>1272</v>
      </c>
      <c r="S755" s="1" t="s">
        <v>1280</v>
      </c>
    </row>
    <row r="756" spans="1:19" hidden="1" x14ac:dyDescent="0.3">
      <c r="A756" t="s">
        <v>949</v>
      </c>
      <c r="B756" t="s">
        <v>950</v>
      </c>
      <c r="C756" t="s">
        <v>944</v>
      </c>
      <c r="D756">
        <v>20650</v>
      </c>
      <c r="E756" t="s">
        <v>309</v>
      </c>
      <c r="F756" t="s">
        <v>60</v>
      </c>
      <c r="G756" t="s">
        <v>310</v>
      </c>
      <c r="H756" t="s">
        <v>311</v>
      </c>
      <c r="I756" t="s">
        <v>25</v>
      </c>
      <c r="J756">
        <v>878</v>
      </c>
      <c r="K756" t="s">
        <v>312</v>
      </c>
      <c r="L756">
        <v>5</v>
      </c>
      <c r="M756">
        <v>4.7062999999999997</v>
      </c>
      <c r="P756" t="s">
        <v>33</v>
      </c>
      <c r="Q756">
        <v>2</v>
      </c>
      <c r="R756" t="s">
        <v>1272</v>
      </c>
      <c r="S756" s="1" t="s">
        <v>1280</v>
      </c>
    </row>
    <row r="757" spans="1:19" hidden="1" x14ac:dyDescent="0.3">
      <c r="A757" t="s">
        <v>949</v>
      </c>
      <c r="B757" t="s">
        <v>950</v>
      </c>
      <c r="C757" t="s">
        <v>944</v>
      </c>
      <c r="D757">
        <v>171</v>
      </c>
      <c r="E757" t="s">
        <v>102</v>
      </c>
      <c r="F757" t="s">
        <v>103</v>
      </c>
      <c r="G757" t="s">
        <v>104</v>
      </c>
      <c r="H757" t="s">
        <v>105</v>
      </c>
      <c r="I757" t="s">
        <v>31</v>
      </c>
      <c r="J757">
        <v>474</v>
      </c>
      <c r="K757" t="s">
        <v>106</v>
      </c>
      <c r="N757">
        <v>6</v>
      </c>
      <c r="O757">
        <v>0.4143</v>
      </c>
      <c r="P757" t="s">
        <v>38</v>
      </c>
      <c r="Q757">
        <v>0</v>
      </c>
      <c r="R757" t="s">
        <v>1272</v>
      </c>
      <c r="S757" s="1" t="s">
        <v>1334</v>
      </c>
    </row>
    <row r="758" spans="1:19" hidden="1" x14ac:dyDescent="0.3">
      <c r="A758" t="s">
        <v>949</v>
      </c>
      <c r="B758" t="s">
        <v>950</v>
      </c>
      <c r="C758" t="s">
        <v>944</v>
      </c>
      <c r="D758">
        <v>17650</v>
      </c>
      <c r="E758" t="s">
        <v>195</v>
      </c>
      <c r="F758" t="s">
        <v>155</v>
      </c>
      <c r="G758" t="s">
        <v>196</v>
      </c>
      <c r="H758" t="s">
        <v>197</v>
      </c>
      <c r="I758" t="s">
        <v>25</v>
      </c>
      <c r="J758">
        <v>700</v>
      </c>
      <c r="K758" t="s">
        <v>198</v>
      </c>
      <c r="L758">
        <v>6</v>
      </c>
      <c r="M758">
        <v>4.4919000000000002</v>
      </c>
      <c r="P758" t="s">
        <v>33</v>
      </c>
      <c r="Q758">
        <v>1</v>
      </c>
      <c r="R758" t="s">
        <v>1272</v>
      </c>
      <c r="S758" s="1" t="s">
        <v>1335</v>
      </c>
    </row>
    <row r="759" spans="1:19" hidden="1" x14ac:dyDescent="0.3">
      <c r="A759" t="s">
        <v>949</v>
      </c>
      <c r="B759" t="s">
        <v>950</v>
      </c>
      <c r="C759" t="s">
        <v>944</v>
      </c>
      <c r="D759">
        <v>10730</v>
      </c>
      <c r="E759" t="s">
        <v>317</v>
      </c>
      <c r="F759" t="s">
        <v>60</v>
      </c>
      <c r="G759" t="s">
        <v>318</v>
      </c>
      <c r="H759" t="s">
        <v>319</v>
      </c>
      <c r="I759" t="s">
        <v>25</v>
      </c>
      <c r="J759">
        <v>800</v>
      </c>
      <c r="K759" t="s">
        <v>320</v>
      </c>
      <c r="L759">
        <v>7</v>
      </c>
      <c r="M759">
        <v>4.3346</v>
      </c>
      <c r="P759" t="s">
        <v>33</v>
      </c>
      <c r="Q759">
        <v>2</v>
      </c>
      <c r="R759" t="s">
        <v>1272</v>
      </c>
      <c r="S759" s="1" t="s">
        <v>1280</v>
      </c>
    </row>
    <row r="760" spans="1:19" hidden="1" x14ac:dyDescent="0.3">
      <c r="A760" t="s">
        <v>949</v>
      </c>
      <c r="B760" t="s">
        <v>950</v>
      </c>
      <c r="C760" t="s">
        <v>944</v>
      </c>
      <c r="D760">
        <v>19019</v>
      </c>
      <c r="E760" t="s">
        <v>296</v>
      </c>
      <c r="F760" t="s">
        <v>297</v>
      </c>
      <c r="G760" t="s">
        <v>298</v>
      </c>
      <c r="H760" t="s">
        <v>299</v>
      </c>
      <c r="I760" t="s">
        <v>25</v>
      </c>
      <c r="J760">
        <v>999</v>
      </c>
      <c r="K760" t="s">
        <v>300</v>
      </c>
      <c r="N760">
        <v>7</v>
      </c>
      <c r="O760">
        <v>0.41210000000000002</v>
      </c>
      <c r="P760" t="s">
        <v>38</v>
      </c>
      <c r="Q760">
        <v>1</v>
      </c>
      <c r="R760" t="s">
        <v>1272</v>
      </c>
      <c r="S760" s="1" t="s">
        <v>1335</v>
      </c>
    </row>
    <row r="761" spans="1:19" hidden="1" x14ac:dyDescent="0.3">
      <c r="A761" t="s">
        <v>949</v>
      </c>
      <c r="B761" t="s">
        <v>950</v>
      </c>
      <c r="C761" t="s">
        <v>944</v>
      </c>
      <c r="D761">
        <v>13237</v>
      </c>
      <c r="E761" t="s">
        <v>137</v>
      </c>
      <c r="F761" t="s">
        <v>60</v>
      </c>
      <c r="G761" t="s">
        <v>138</v>
      </c>
      <c r="H761" t="s">
        <v>139</v>
      </c>
      <c r="I761" t="s">
        <v>31</v>
      </c>
      <c r="J761">
        <v>1213</v>
      </c>
      <c r="K761" t="s">
        <v>140</v>
      </c>
      <c r="L761">
        <v>8</v>
      </c>
      <c r="M761">
        <v>4.2930000000000001</v>
      </c>
      <c r="P761" t="s">
        <v>33</v>
      </c>
      <c r="Q761">
        <v>0</v>
      </c>
      <c r="R761" t="s">
        <v>1272</v>
      </c>
      <c r="S761" s="1" t="s">
        <v>1334</v>
      </c>
    </row>
    <row r="762" spans="1:19" hidden="1" x14ac:dyDescent="0.3">
      <c r="A762" t="s">
        <v>949</v>
      </c>
      <c r="B762" t="s">
        <v>950</v>
      </c>
      <c r="C762" t="s">
        <v>944</v>
      </c>
      <c r="D762">
        <v>18703</v>
      </c>
      <c r="E762" t="s">
        <v>116</v>
      </c>
      <c r="F762" t="s">
        <v>117</v>
      </c>
      <c r="G762" t="s">
        <v>118</v>
      </c>
      <c r="H762" t="s">
        <v>119</v>
      </c>
      <c r="I762" t="s">
        <v>31</v>
      </c>
      <c r="J762">
        <v>303</v>
      </c>
      <c r="K762" t="s">
        <v>120</v>
      </c>
      <c r="N762">
        <v>8</v>
      </c>
      <c r="O762">
        <v>0.40620000000000001</v>
      </c>
      <c r="P762" t="s">
        <v>38</v>
      </c>
      <c r="Q762">
        <v>0</v>
      </c>
      <c r="R762" t="s">
        <v>1272</v>
      </c>
      <c r="S762" s="1" t="s">
        <v>1334</v>
      </c>
    </row>
    <row r="763" spans="1:19" hidden="1" x14ac:dyDescent="0.3">
      <c r="A763" t="s">
        <v>949</v>
      </c>
      <c r="B763" t="s">
        <v>950</v>
      </c>
      <c r="C763" t="s">
        <v>944</v>
      </c>
      <c r="D763">
        <v>16102</v>
      </c>
      <c r="E763" t="s">
        <v>186</v>
      </c>
      <c r="F763" t="s">
        <v>155</v>
      </c>
      <c r="G763" t="s">
        <v>187</v>
      </c>
      <c r="H763" t="s">
        <v>188</v>
      </c>
      <c r="I763" t="s">
        <v>25</v>
      </c>
      <c r="J763">
        <v>8766</v>
      </c>
      <c r="K763" t="s">
        <v>189</v>
      </c>
      <c r="L763">
        <v>9</v>
      </c>
      <c r="M763">
        <v>4.0852000000000004</v>
      </c>
      <c r="P763" t="s">
        <v>33</v>
      </c>
      <c r="Q763">
        <v>1</v>
      </c>
      <c r="R763" t="s">
        <v>1272</v>
      </c>
      <c r="S763" s="1" t="s">
        <v>1335</v>
      </c>
    </row>
    <row r="764" spans="1:19" hidden="1" x14ac:dyDescent="0.3">
      <c r="A764" t="s">
        <v>949</v>
      </c>
      <c r="B764" t="s">
        <v>950</v>
      </c>
      <c r="C764" t="s">
        <v>944</v>
      </c>
      <c r="D764">
        <v>20776</v>
      </c>
      <c r="E764" t="s">
        <v>739</v>
      </c>
      <c r="F764" t="s">
        <v>740</v>
      </c>
      <c r="G764" t="s">
        <v>741</v>
      </c>
      <c r="H764" t="s">
        <v>742</v>
      </c>
      <c r="I764" t="s">
        <v>31</v>
      </c>
      <c r="J764">
        <v>386</v>
      </c>
      <c r="K764" t="s">
        <v>743</v>
      </c>
      <c r="N764">
        <v>9</v>
      </c>
      <c r="O764">
        <v>0.40479999999999999</v>
      </c>
      <c r="P764" t="s">
        <v>38</v>
      </c>
      <c r="Q764">
        <v>1</v>
      </c>
      <c r="R764" t="s">
        <v>1272</v>
      </c>
      <c r="S764" s="1" t="s">
        <v>1335</v>
      </c>
    </row>
    <row r="765" spans="1:19" hidden="1" x14ac:dyDescent="0.3">
      <c r="A765" t="s">
        <v>949</v>
      </c>
      <c r="B765" t="s">
        <v>950</v>
      </c>
      <c r="C765" t="s">
        <v>944</v>
      </c>
      <c r="D765">
        <v>17649</v>
      </c>
      <c r="E765" t="s">
        <v>209</v>
      </c>
      <c r="F765" t="s">
        <v>155</v>
      </c>
      <c r="G765" t="s">
        <v>210</v>
      </c>
      <c r="H765" t="s">
        <v>211</v>
      </c>
      <c r="I765" t="s">
        <v>31</v>
      </c>
      <c r="J765">
        <v>471</v>
      </c>
      <c r="K765" t="s">
        <v>212</v>
      </c>
      <c r="L765">
        <v>10</v>
      </c>
      <c r="M765">
        <v>4.0757000000000003</v>
      </c>
      <c r="P765" t="s">
        <v>33</v>
      </c>
      <c r="Q765">
        <v>1</v>
      </c>
      <c r="R765" t="s">
        <v>1272</v>
      </c>
      <c r="S765" s="1" t="s">
        <v>1335</v>
      </c>
    </row>
    <row r="766" spans="1:19" hidden="1" x14ac:dyDescent="0.3">
      <c r="A766" t="s">
        <v>949</v>
      </c>
      <c r="B766" t="s">
        <v>950</v>
      </c>
      <c r="C766" t="s">
        <v>944</v>
      </c>
      <c r="D766">
        <v>19400</v>
      </c>
      <c r="E766" t="s">
        <v>805</v>
      </c>
      <c r="F766" t="s">
        <v>60</v>
      </c>
      <c r="G766" t="s">
        <v>806</v>
      </c>
      <c r="H766" t="s">
        <v>807</v>
      </c>
      <c r="I766" t="s">
        <v>31</v>
      </c>
      <c r="J766">
        <v>534</v>
      </c>
      <c r="K766" t="s">
        <v>808</v>
      </c>
      <c r="N766">
        <v>10</v>
      </c>
      <c r="O766">
        <v>0.40429999999999999</v>
      </c>
      <c r="P766" t="s">
        <v>38</v>
      </c>
      <c r="Q766">
        <v>2</v>
      </c>
      <c r="R766" t="s">
        <v>1272</v>
      </c>
      <c r="S766" s="1" t="s">
        <v>1280</v>
      </c>
    </row>
    <row r="767" spans="1:19" hidden="1" x14ac:dyDescent="0.3">
      <c r="A767" t="s">
        <v>951</v>
      </c>
      <c r="B767" t="s">
        <v>952</v>
      </c>
      <c r="C767" t="s">
        <v>944</v>
      </c>
      <c r="D767">
        <v>17650</v>
      </c>
      <c r="E767" t="s">
        <v>195</v>
      </c>
      <c r="F767" t="s">
        <v>155</v>
      </c>
      <c r="G767" t="s">
        <v>196</v>
      </c>
      <c r="H767" t="s">
        <v>197</v>
      </c>
      <c r="I767" t="s">
        <v>25</v>
      </c>
      <c r="J767">
        <v>700</v>
      </c>
      <c r="K767" t="s">
        <v>198</v>
      </c>
      <c r="L767">
        <v>1</v>
      </c>
      <c r="M767">
        <v>8.1042000000000005</v>
      </c>
      <c r="P767" t="s">
        <v>33</v>
      </c>
      <c r="Q767">
        <v>2</v>
      </c>
      <c r="R767" t="s">
        <v>1272</v>
      </c>
      <c r="S767" s="1" t="s">
        <v>1280</v>
      </c>
    </row>
    <row r="768" spans="1:19" hidden="1" x14ac:dyDescent="0.3">
      <c r="A768" t="s">
        <v>951</v>
      </c>
      <c r="B768" t="s">
        <v>952</v>
      </c>
      <c r="C768" t="s">
        <v>944</v>
      </c>
      <c r="D768">
        <v>19521</v>
      </c>
      <c r="E768" t="s">
        <v>213</v>
      </c>
      <c r="F768" t="s">
        <v>155</v>
      </c>
      <c r="G768" t="s">
        <v>214</v>
      </c>
      <c r="H768" t="s">
        <v>215</v>
      </c>
      <c r="I768" t="s">
        <v>31</v>
      </c>
      <c r="J768">
        <v>265</v>
      </c>
      <c r="K768" t="s">
        <v>216</v>
      </c>
      <c r="L768">
        <v>9</v>
      </c>
      <c r="M768">
        <v>6.2657999999999996</v>
      </c>
      <c r="N768">
        <v>1</v>
      </c>
      <c r="O768">
        <v>0.43830000000000002</v>
      </c>
      <c r="P768" t="s">
        <v>27</v>
      </c>
      <c r="Q768">
        <v>2</v>
      </c>
      <c r="R768" t="s">
        <v>1272</v>
      </c>
      <c r="S768" s="1" t="s">
        <v>1280</v>
      </c>
    </row>
    <row r="769" spans="1:19" hidden="1" x14ac:dyDescent="0.3">
      <c r="A769" t="s">
        <v>951</v>
      </c>
      <c r="B769" t="s">
        <v>952</v>
      </c>
      <c r="C769" t="s">
        <v>944</v>
      </c>
      <c r="D769">
        <v>16102</v>
      </c>
      <c r="E769" t="s">
        <v>186</v>
      </c>
      <c r="F769" t="s">
        <v>155</v>
      </c>
      <c r="G769" t="s">
        <v>187</v>
      </c>
      <c r="H769" t="s">
        <v>188</v>
      </c>
      <c r="I769" t="s">
        <v>25</v>
      </c>
      <c r="J769">
        <v>8766</v>
      </c>
      <c r="K769" t="s">
        <v>189</v>
      </c>
      <c r="L769">
        <v>2</v>
      </c>
      <c r="M769">
        <v>7.6798000000000002</v>
      </c>
      <c r="P769" t="s">
        <v>33</v>
      </c>
      <c r="Q769">
        <v>2</v>
      </c>
      <c r="R769" t="s">
        <v>1272</v>
      </c>
      <c r="S769" s="1" t="s">
        <v>1280</v>
      </c>
    </row>
    <row r="770" spans="1:19" hidden="1" x14ac:dyDescent="0.3">
      <c r="A770" t="s">
        <v>951</v>
      </c>
      <c r="B770" t="s">
        <v>952</v>
      </c>
      <c r="C770" t="s">
        <v>944</v>
      </c>
      <c r="D770">
        <v>17133</v>
      </c>
      <c r="E770" t="s">
        <v>306</v>
      </c>
      <c r="F770" t="s">
        <v>155</v>
      </c>
      <c r="G770" t="s">
        <v>187</v>
      </c>
      <c r="H770" t="s">
        <v>307</v>
      </c>
      <c r="I770" t="s">
        <v>31</v>
      </c>
      <c r="J770">
        <v>469</v>
      </c>
      <c r="K770" t="s">
        <v>308</v>
      </c>
      <c r="L770">
        <v>5</v>
      </c>
      <c r="M770">
        <v>6.5057999999999998</v>
      </c>
      <c r="N770">
        <v>2</v>
      </c>
      <c r="O770">
        <v>0.42720000000000002</v>
      </c>
      <c r="P770" t="s">
        <v>27</v>
      </c>
      <c r="Q770">
        <v>2</v>
      </c>
      <c r="R770" t="s">
        <v>1272</v>
      </c>
      <c r="S770" s="1" t="s">
        <v>1280</v>
      </c>
    </row>
    <row r="771" spans="1:19" hidden="1" x14ac:dyDescent="0.3">
      <c r="A771" t="s">
        <v>951</v>
      </c>
      <c r="B771" t="s">
        <v>952</v>
      </c>
      <c r="C771" t="s">
        <v>944</v>
      </c>
      <c r="D771">
        <v>541</v>
      </c>
      <c r="E771" t="s">
        <v>170</v>
      </c>
      <c r="F771" t="s">
        <v>155</v>
      </c>
      <c r="G771" t="s">
        <v>171</v>
      </c>
      <c r="H771" t="s">
        <v>172</v>
      </c>
      <c r="I771" t="s">
        <v>25</v>
      </c>
      <c r="J771">
        <v>738</v>
      </c>
      <c r="K771" t="s">
        <v>173</v>
      </c>
      <c r="L771">
        <v>3</v>
      </c>
      <c r="M771">
        <v>7.5681000000000003</v>
      </c>
      <c r="P771" t="s">
        <v>33</v>
      </c>
      <c r="Q771">
        <v>1</v>
      </c>
      <c r="R771" t="s">
        <v>1272</v>
      </c>
      <c r="S771" s="1" t="s">
        <v>1335</v>
      </c>
    </row>
    <row r="772" spans="1:19" hidden="1" x14ac:dyDescent="0.3">
      <c r="A772" t="s">
        <v>951</v>
      </c>
      <c r="B772" t="s">
        <v>952</v>
      </c>
      <c r="C772" t="s">
        <v>944</v>
      </c>
      <c r="D772">
        <v>16100</v>
      </c>
      <c r="E772" t="s">
        <v>732</v>
      </c>
      <c r="F772" t="s">
        <v>155</v>
      </c>
      <c r="G772" t="s">
        <v>472</v>
      </c>
      <c r="H772" t="s">
        <v>733</v>
      </c>
      <c r="I772" t="s">
        <v>31</v>
      </c>
      <c r="J772">
        <v>1444</v>
      </c>
      <c r="K772" t="s">
        <v>734</v>
      </c>
      <c r="N772">
        <v>3</v>
      </c>
      <c r="O772">
        <v>0.42599999999999999</v>
      </c>
      <c r="P772" t="s">
        <v>38</v>
      </c>
      <c r="Q772">
        <v>2</v>
      </c>
      <c r="R772" t="s">
        <v>1272</v>
      </c>
      <c r="S772" s="1" t="s">
        <v>1280</v>
      </c>
    </row>
    <row r="773" spans="1:19" hidden="1" x14ac:dyDescent="0.3">
      <c r="A773" t="s">
        <v>951</v>
      </c>
      <c r="B773" t="s">
        <v>952</v>
      </c>
      <c r="C773" t="s">
        <v>944</v>
      </c>
      <c r="D773">
        <v>17649</v>
      </c>
      <c r="E773" t="s">
        <v>209</v>
      </c>
      <c r="F773" t="s">
        <v>155</v>
      </c>
      <c r="G773" t="s">
        <v>210</v>
      </c>
      <c r="H773" t="s">
        <v>211</v>
      </c>
      <c r="I773" t="s">
        <v>31</v>
      </c>
      <c r="J773">
        <v>471</v>
      </c>
      <c r="K773" t="s">
        <v>212</v>
      </c>
      <c r="L773">
        <v>4</v>
      </c>
      <c r="M773">
        <v>7.0880999999999998</v>
      </c>
      <c r="P773" t="s">
        <v>33</v>
      </c>
      <c r="Q773">
        <v>2</v>
      </c>
      <c r="R773" t="s">
        <v>1272</v>
      </c>
      <c r="S773" s="1" t="s">
        <v>1280</v>
      </c>
    </row>
    <row r="774" spans="1:19" hidden="1" x14ac:dyDescent="0.3">
      <c r="A774" t="s">
        <v>951</v>
      </c>
      <c r="B774" t="s">
        <v>952</v>
      </c>
      <c r="C774" t="s">
        <v>944</v>
      </c>
      <c r="D774">
        <v>20532</v>
      </c>
      <c r="E774" t="s">
        <v>221</v>
      </c>
      <c r="F774" t="s">
        <v>222</v>
      </c>
      <c r="G774" t="s">
        <v>41</v>
      </c>
      <c r="H774" t="s">
        <v>223</v>
      </c>
      <c r="I774" t="s">
        <v>25</v>
      </c>
      <c r="J774">
        <v>1105</v>
      </c>
      <c r="K774" t="s">
        <v>224</v>
      </c>
      <c r="N774">
        <v>4</v>
      </c>
      <c r="O774">
        <v>0.42</v>
      </c>
      <c r="P774" t="s">
        <v>38</v>
      </c>
      <c r="Q774">
        <v>2</v>
      </c>
      <c r="R774" t="s">
        <v>1272</v>
      </c>
      <c r="S774" s="1" t="s">
        <v>1280</v>
      </c>
    </row>
    <row r="775" spans="1:19" hidden="1" x14ac:dyDescent="0.3">
      <c r="A775" t="s">
        <v>951</v>
      </c>
      <c r="B775" t="s">
        <v>952</v>
      </c>
      <c r="C775" t="s">
        <v>944</v>
      </c>
      <c r="D775">
        <v>12662</v>
      </c>
      <c r="E775" t="s">
        <v>313</v>
      </c>
      <c r="F775" t="s">
        <v>155</v>
      </c>
      <c r="G775" t="s">
        <v>314</v>
      </c>
      <c r="H775" t="s">
        <v>315</v>
      </c>
      <c r="I775" t="s">
        <v>31</v>
      </c>
      <c r="J775">
        <v>711</v>
      </c>
      <c r="K775" t="s">
        <v>316</v>
      </c>
      <c r="N775">
        <v>5</v>
      </c>
      <c r="O775">
        <v>0.41489999999999999</v>
      </c>
      <c r="P775" t="s">
        <v>38</v>
      </c>
      <c r="Q775">
        <v>2</v>
      </c>
      <c r="R775" t="s">
        <v>1272</v>
      </c>
      <c r="S775" s="1" t="s">
        <v>1280</v>
      </c>
    </row>
    <row r="776" spans="1:19" hidden="1" x14ac:dyDescent="0.3">
      <c r="A776" t="s">
        <v>951</v>
      </c>
      <c r="B776" t="s">
        <v>952</v>
      </c>
      <c r="C776" t="s">
        <v>944</v>
      </c>
      <c r="D776">
        <v>14198</v>
      </c>
      <c r="E776" t="s">
        <v>73</v>
      </c>
      <c r="F776" t="s">
        <v>74</v>
      </c>
      <c r="G776" t="s">
        <v>75</v>
      </c>
      <c r="H776" t="s">
        <v>76</v>
      </c>
      <c r="I776" t="s">
        <v>31</v>
      </c>
      <c r="J776">
        <v>377</v>
      </c>
      <c r="K776" t="s">
        <v>77</v>
      </c>
      <c r="L776">
        <v>6</v>
      </c>
      <c r="M776">
        <v>6.4572000000000003</v>
      </c>
      <c r="P776" t="s">
        <v>33</v>
      </c>
      <c r="Q776">
        <v>2</v>
      </c>
      <c r="R776" t="s">
        <v>1272</v>
      </c>
      <c r="S776" s="1" t="s">
        <v>1280</v>
      </c>
    </row>
    <row r="777" spans="1:19" hidden="1" x14ac:dyDescent="0.3">
      <c r="A777" t="s">
        <v>951</v>
      </c>
      <c r="B777" t="s">
        <v>952</v>
      </c>
      <c r="C777" t="s">
        <v>944</v>
      </c>
      <c r="D777">
        <v>17915</v>
      </c>
      <c r="E777" t="s">
        <v>793</v>
      </c>
      <c r="F777" t="s">
        <v>155</v>
      </c>
      <c r="G777" t="s">
        <v>794</v>
      </c>
      <c r="H777" t="s">
        <v>795</v>
      </c>
      <c r="I777" t="s">
        <v>25</v>
      </c>
      <c r="J777">
        <v>688</v>
      </c>
      <c r="K777" t="s">
        <v>796</v>
      </c>
      <c r="N777">
        <v>6</v>
      </c>
      <c r="O777">
        <v>0.41120000000000001</v>
      </c>
      <c r="P777" t="s">
        <v>38</v>
      </c>
      <c r="Q777">
        <v>2</v>
      </c>
      <c r="R777" t="s">
        <v>1272</v>
      </c>
      <c r="S777" s="1" t="s">
        <v>1280</v>
      </c>
    </row>
    <row r="778" spans="1:19" hidden="1" x14ac:dyDescent="0.3">
      <c r="A778" t="s">
        <v>951</v>
      </c>
      <c r="B778" t="s">
        <v>952</v>
      </c>
      <c r="C778" t="s">
        <v>944</v>
      </c>
      <c r="D778">
        <v>19851</v>
      </c>
      <c r="E778" t="s">
        <v>953</v>
      </c>
      <c r="F778" t="s">
        <v>155</v>
      </c>
      <c r="G778" t="s">
        <v>909</v>
      </c>
      <c r="H778" t="s">
        <v>954</v>
      </c>
      <c r="I778" t="s">
        <v>31</v>
      </c>
      <c r="J778">
        <v>145</v>
      </c>
      <c r="K778" t="s">
        <v>955</v>
      </c>
      <c r="L778">
        <v>7</v>
      </c>
      <c r="M778">
        <v>6.3349000000000002</v>
      </c>
      <c r="P778" t="s">
        <v>33</v>
      </c>
      <c r="Q778">
        <v>2</v>
      </c>
      <c r="R778" t="s">
        <v>1272</v>
      </c>
      <c r="S778" s="1" t="s">
        <v>1280</v>
      </c>
    </row>
    <row r="779" spans="1:19" hidden="1" x14ac:dyDescent="0.3">
      <c r="A779" t="s">
        <v>951</v>
      </c>
      <c r="B779" t="s">
        <v>952</v>
      </c>
      <c r="C779" t="s">
        <v>944</v>
      </c>
      <c r="D779">
        <v>20777</v>
      </c>
      <c r="E779" t="s">
        <v>174</v>
      </c>
      <c r="F779" t="s">
        <v>155</v>
      </c>
      <c r="G779" t="s">
        <v>175</v>
      </c>
      <c r="H779" t="s">
        <v>176</v>
      </c>
      <c r="I779" t="s">
        <v>31</v>
      </c>
      <c r="J779">
        <v>384</v>
      </c>
      <c r="K779" t="s">
        <v>177</v>
      </c>
      <c r="N779">
        <v>7</v>
      </c>
      <c r="O779">
        <v>0.4073</v>
      </c>
      <c r="P779" t="s">
        <v>38</v>
      </c>
      <c r="Q779">
        <v>1</v>
      </c>
      <c r="R779" t="s">
        <v>1272</v>
      </c>
      <c r="S779" s="1" t="s">
        <v>1335</v>
      </c>
    </row>
    <row r="780" spans="1:19" hidden="1" x14ac:dyDescent="0.3">
      <c r="A780" t="s">
        <v>951</v>
      </c>
      <c r="B780" t="s">
        <v>952</v>
      </c>
      <c r="C780" t="s">
        <v>944</v>
      </c>
      <c r="D780">
        <v>15839</v>
      </c>
      <c r="E780" t="s">
        <v>154</v>
      </c>
      <c r="F780" t="s">
        <v>155</v>
      </c>
      <c r="G780" t="s">
        <v>156</v>
      </c>
      <c r="H780" t="s">
        <v>157</v>
      </c>
      <c r="I780" t="s">
        <v>25</v>
      </c>
      <c r="J780">
        <v>298</v>
      </c>
      <c r="K780" t="s">
        <v>158</v>
      </c>
      <c r="L780">
        <v>8</v>
      </c>
      <c r="M780">
        <v>6.2819000000000003</v>
      </c>
      <c r="P780" t="s">
        <v>33</v>
      </c>
      <c r="Q780">
        <v>1</v>
      </c>
      <c r="R780" t="s">
        <v>1272</v>
      </c>
      <c r="S780" s="1" t="s">
        <v>1335</v>
      </c>
    </row>
    <row r="781" spans="1:19" hidden="1" x14ac:dyDescent="0.3">
      <c r="A781" t="s">
        <v>951</v>
      </c>
      <c r="B781" t="s">
        <v>952</v>
      </c>
      <c r="C781" t="s">
        <v>944</v>
      </c>
      <c r="D781">
        <v>19710</v>
      </c>
      <c r="E781" t="s">
        <v>199</v>
      </c>
      <c r="F781" t="s">
        <v>200</v>
      </c>
      <c r="G781" t="s">
        <v>201</v>
      </c>
      <c r="H781" t="s">
        <v>202</v>
      </c>
      <c r="I781" t="s">
        <v>31</v>
      </c>
      <c r="J781">
        <v>262</v>
      </c>
      <c r="K781" t="s">
        <v>203</v>
      </c>
      <c r="N781">
        <v>8</v>
      </c>
      <c r="O781">
        <v>0.4012</v>
      </c>
      <c r="P781" t="s">
        <v>38</v>
      </c>
      <c r="Q781">
        <v>0</v>
      </c>
      <c r="R781" t="s">
        <v>1272</v>
      </c>
      <c r="S781" t="s">
        <v>1341</v>
      </c>
    </row>
    <row r="782" spans="1:19" hidden="1" x14ac:dyDescent="0.3">
      <c r="A782" t="s">
        <v>951</v>
      </c>
      <c r="B782" t="s">
        <v>952</v>
      </c>
      <c r="C782" t="s">
        <v>944</v>
      </c>
      <c r="D782">
        <v>16333</v>
      </c>
      <c r="E782" t="s">
        <v>956</v>
      </c>
      <c r="F782" t="s">
        <v>155</v>
      </c>
      <c r="G782" t="s">
        <v>156</v>
      </c>
      <c r="H782" t="s">
        <v>957</v>
      </c>
      <c r="I782" t="s">
        <v>31</v>
      </c>
      <c r="J782">
        <v>753</v>
      </c>
      <c r="K782" t="s">
        <v>958</v>
      </c>
      <c r="N782">
        <v>9</v>
      </c>
      <c r="O782">
        <v>0.40079999999999999</v>
      </c>
      <c r="P782" t="s">
        <v>38</v>
      </c>
      <c r="Q782">
        <v>2</v>
      </c>
      <c r="R782" t="s">
        <v>1272</v>
      </c>
      <c r="S782" s="1" t="s">
        <v>1280</v>
      </c>
    </row>
    <row r="783" spans="1:19" hidden="1" x14ac:dyDescent="0.3">
      <c r="A783" t="s">
        <v>951</v>
      </c>
      <c r="B783" t="s">
        <v>952</v>
      </c>
      <c r="C783" t="s">
        <v>944</v>
      </c>
      <c r="D783">
        <v>3280</v>
      </c>
      <c r="E783" t="s">
        <v>178</v>
      </c>
      <c r="F783" t="s">
        <v>155</v>
      </c>
      <c r="G783" t="s">
        <v>179</v>
      </c>
      <c r="H783" t="s">
        <v>180</v>
      </c>
      <c r="I783" t="s">
        <v>25</v>
      </c>
      <c r="J783">
        <v>927</v>
      </c>
      <c r="K783" t="s">
        <v>181</v>
      </c>
      <c r="N783">
        <v>10</v>
      </c>
      <c r="O783">
        <v>0.39350000000000002</v>
      </c>
      <c r="P783" t="s">
        <v>38</v>
      </c>
      <c r="Q783">
        <v>1</v>
      </c>
      <c r="R783" t="s">
        <v>1272</v>
      </c>
      <c r="S783" s="1" t="s">
        <v>1335</v>
      </c>
    </row>
    <row r="784" spans="1:19" hidden="1" x14ac:dyDescent="0.3">
      <c r="A784" t="s">
        <v>951</v>
      </c>
      <c r="B784" t="s">
        <v>952</v>
      </c>
      <c r="C784" t="s">
        <v>944</v>
      </c>
      <c r="D784">
        <v>16145</v>
      </c>
      <c r="E784" t="s">
        <v>182</v>
      </c>
      <c r="F784" t="s">
        <v>155</v>
      </c>
      <c r="G784" t="s">
        <v>183</v>
      </c>
      <c r="H784" t="s">
        <v>184</v>
      </c>
      <c r="I784" t="s">
        <v>31</v>
      </c>
      <c r="J784">
        <v>2447</v>
      </c>
      <c r="K784" t="s">
        <v>185</v>
      </c>
      <c r="L784">
        <v>10</v>
      </c>
      <c r="M784">
        <v>6.2577999999999996</v>
      </c>
      <c r="P784" t="s">
        <v>33</v>
      </c>
      <c r="Q784">
        <v>1</v>
      </c>
      <c r="R784" t="s">
        <v>1272</v>
      </c>
      <c r="S784" s="1" t="s">
        <v>1335</v>
      </c>
    </row>
    <row r="785" spans="1:19" hidden="1" x14ac:dyDescent="0.3">
      <c r="A785" t="s">
        <v>959</v>
      </c>
      <c r="B785" t="s">
        <v>960</v>
      </c>
      <c r="C785" t="s">
        <v>944</v>
      </c>
      <c r="D785">
        <v>16211</v>
      </c>
      <c r="E785" t="s">
        <v>266</v>
      </c>
      <c r="F785" t="s">
        <v>74</v>
      </c>
      <c r="G785" t="s">
        <v>267</v>
      </c>
      <c r="H785" t="s">
        <v>268</v>
      </c>
      <c r="I785" t="s">
        <v>31</v>
      </c>
      <c r="J785">
        <v>1579</v>
      </c>
      <c r="K785" t="s">
        <v>269</v>
      </c>
      <c r="N785">
        <v>1</v>
      </c>
      <c r="O785">
        <v>0.4647</v>
      </c>
      <c r="P785" t="s">
        <v>38</v>
      </c>
      <c r="Q785">
        <v>1</v>
      </c>
      <c r="R785" t="s">
        <v>1272</v>
      </c>
      <c r="S785" t="str">
        <f>IF(Q785=2,"ok",IF(Q785=1,"Phù hợp 1 phần", "ko hợp"))</f>
        <v>Phù hợp 1 phần</v>
      </c>
    </row>
    <row r="786" spans="1:19" hidden="1" x14ac:dyDescent="0.3">
      <c r="A786" t="s">
        <v>959</v>
      </c>
      <c r="B786" t="s">
        <v>960</v>
      </c>
      <c r="C786" t="s">
        <v>944</v>
      </c>
      <c r="D786">
        <v>19982</v>
      </c>
      <c r="E786" t="s">
        <v>28</v>
      </c>
      <c r="F786" t="s">
        <v>22</v>
      </c>
      <c r="G786" t="s">
        <v>29</v>
      </c>
      <c r="H786" t="s">
        <v>30</v>
      </c>
      <c r="I786" t="s">
        <v>31</v>
      </c>
      <c r="J786">
        <v>543</v>
      </c>
      <c r="K786" t="s">
        <v>32</v>
      </c>
      <c r="L786">
        <v>1</v>
      </c>
      <c r="M786">
        <v>14.2369</v>
      </c>
      <c r="P786" t="s">
        <v>33</v>
      </c>
      <c r="Q786">
        <v>2</v>
      </c>
      <c r="R786" t="s">
        <v>1272</v>
      </c>
      <c r="S786" t="str">
        <f t="shared" ref="S786:S908" si="0">IF(Q786=2,"ok",IF(Q786=1,"Phù hợp 1 phần", "ko hợp"))</f>
        <v>ok</v>
      </c>
    </row>
    <row r="787" spans="1:19" hidden="1" x14ac:dyDescent="0.3">
      <c r="A787" t="s">
        <v>959</v>
      </c>
      <c r="B787" t="s">
        <v>960</v>
      </c>
      <c r="C787" t="s">
        <v>944</v>
      </c>
      <c r="D787">
        <v>16290</v>
      </c>
      <c r="E787" t="s">
        <v>799</v>
      </c>
      <c r="F787" t="s">
        <v>74</v>
      </c>
      <c r="G787" t="s">
        <v>800</v>
      </c>
      <c r="H787" t="s">
        <v>801</v>
      </c>
      <c r="I787" t="s">
        <v>25</v>
      </c>
      <c r="J787">
        <v>511</v>
      </c>
      <c r="K787" t="s">
        <v>802</v>
      </c>
      <c r="N787">
        <v>2</v>
      </c>
      <c r="O787">
        <v>0.4617</v>
      </c>
      <c r="P787" t="s">
        <v>38</v>
      </c>
      <c r="Q787">
        <v>1</v>
      </c>
      <c r="R787" t="s">
        <v>1272</v>
      </c>
      <c r="S787" t="str">
        <f t="shared" si="0"/>
        <v>Phù hợp 1 phần</v>
      </c>
    </row>
    <row r="788" spans="1:19" hidden="1" x14ac:dyDescent="0.3">
      <c r="A788" t="s">
        <v>959</v>
      </c>
      <c r="B788" t="s">
        <v>960</v>
      </c>
      <c r="C788" t="s">
        <v>944</v>
      </c>
      <c r="D788">
        <v>19710</v>
      </c>
      <c r="E788" t="s">
        <v>199</v>
      </c>
      <c r="F788" t="s">
        <v>200</v>
      </c>
      <c r="G788" t="s">
        <v>201</v>
      </c>
      <c r="H788" t="s">
        <v>202</v>
      </c>
      <c r="I788" t="s">
        <v>31</v>
      </c>
      <c r="J788">
        <v>262</v>
      </c>
      <c r="K788" t="s">
        <v>203</v>
      </c>
      <c r="L788">
        <v>2</v>
      </c>
      <c r="M788">
        <v>12.4191</v>
      </c>
      <c r="P788" t="s">
        <v>33</v>
      </c>
      <c r="Q788">
        <v>1</v>
      </c>
      <c r="R788" t="s">
        <v>1272</v>
      </c>
      <c r="S788" t="str">
        <f t="shared" si="0"/>
        <v>Phù hợp 1 phần</v>
      </c>
    </row>
    <row r="789" spans="1:19" hidden="1" x14ac:dyDescent="0.3">
      <c r="A789" t="s">
        <v>959</v>
      </c>
      <c r="B789" t="s">
        <v>960</v>
      </c>
      <c r="C789" t="s">
        <v>944</v>
      </c>
      <c r="D789">
        <v>171</v>
      </c>
      <c r="E789" t="s">
        <v>102</v>
      </c>
      <c r="F789" t="s">
        <v>103</v>
      </c>
      <c r="G789" t="s">
        <v>104</v>
      </c>
      <c r="H789" t="s">
        <v>105</v>
      </c>
      <c r="I789" t="s">
        <v>31</v>
      </c>
      <c r="J789">
        <v>474</v>
      </c>
      <c r="K789" t="s">
        <v>106</v>
      </c>
      <c r="N789">
        <v>3</v>
      </c>
      <c r="O789">
        <v>0.45019999999999999</v>
      </c>
      <c r="P789" t="s">
        <v>38</v>
      </c>
      <c r="Q789">
        <v>1</v>
      </c>
      <c r="R789" t="s">
        <v>1272</v>
      </c>
      <c r="S789" t="str">
        <f t="shared" si="0"/>
        <v>Phù hợp 1 phần</v>
      </c>
    </row>
    <row r="790" spans="1:19" hidden="1" x14ac:dyDescent="0.3">
      <c r="A790" t="s">
        <v>959</v>
      </c>
      <c r="B790" t="s">
        <v>960</v>
      </c>
      <c r="C790" t="s">
        <v>944</v>
      </c>
      <c r="D790">
        <v>12737</v>
      </c>
      <c r="E790" t="s">
        <v>588</v>
      </c>
      <c r="F790" t="s">
        <v>22</v>
      </c>
      <c r="G790" t="s">
        <v>589</v>
      </c>
      <c r="H790" t="s">
        <v>590</v>
      </c>
      <c r="I790" t="s">
        <v>31</v>
      </c>
      <c r="J790">
        <v>1553</v>
      </c>
      <c r="K790" t="s">
        <v>591</v>
      </c>
      <c r="L790">
        <v>3</v>
      </c>
      <c r="M790">
        <v>8.7674000000000003</v>
      </c>
      <c r="P790" t="s">
        <v>33</v>
      </c>
      <c r="Q790">
        <v>2</v>
      </c>
      <c r="R790" t="s">
        <v>1272</v>
      </c>
      <c r="S790" t="str">
        <f t="shared" si="0"/>
        <v>ok</v>
      </c>
    </row>
    <row r="791" spans="1:19" hidden="1" x14ac:dyDescent="0.3">
      <c r="A791" t="s">
        <v>959</v>
      </c>
      <c r="B791" t="s">
        <v>960</v>
      </c>
      <c r="C791" t="s">
        <v>944</v>
      </c>
      <c r="D791">
        <v>15013</v>
      </c>
      <c r="E791" t="s">
        <v>59</v>
      </c>
      <c r="F791" t="s">
        <v>60</v>
      </c>
      <c r="G791" t="s">
        <v>61</v>
      </c>
      <c r="H791" t="s">
        <v>62</v>
      </c>
      <c r="I791" t="s">
        <v>25</v>
      </c>
      <c r="J791">
        <v>550</v>
      </c>
      <c r="K791" t="s">
        <v>63</v>
      </c>
      <c r="N791">
        <v>4</v>
      </c>
      <c r="O791">
        <v>0.4501</v>
      </c>
      <c r="P791" t="s">
        <v>38</v>
      </c>
      <c r="Q791">
        <v>1</v>
      </c>
      <c r="R791" t="s">
        <v>1272</v>
      </c>
      <c r="S791" t="str">
        <f t="shared" si="0"/>
        <v>Phù hợp 1 phần</v>
      </c>
    </row>
    <row r="792" spans="1:19" hidden="1" x14ac:dyDescent="0.3">
      <c r="A792" t="s">
        <v>959</v>
      </c>
      <c r="B792" t="s">
        <v>960</v>
      </c>
      <c r="C792" t="s">
        <v>944</v>
      </c>
      <c r="D792">
        <v>20789</v>
      </c>
      <c r="E792" t="s">
        <v>39</v>
      </c>
      <c r="F792" t="s">
        <v>40</v>
      </c>
      <c r="G792" t="s">
        <v>41</v>
      </c>
      <c r="H792" t="s">
        <v>42</v>
      </c>
      <c r="I792" t="s">
        <v>25</v>
      </c>
      <c r="J792">
        <v>810</v>
      </c>
      <c r="K792" t="s">
        <v>43</v>
      </c>
      <c r="L792">
        <v>4</v>
      </c>
      <c r="M792">
        <v>8.2024000000000008</v>
      </c>
      <c r="P792" t="s">
        <v>33</v>
      </c>
      <c r="Q792">
        <v>2</v>
      </c>
      <c r="R792" t="s">
        <v>1272</v>
      </c>
      <c r="S792" t="str">
        <f t="shared" si="0"/>
        <v>ok</v>
      </c>
    </row>
    <row r="793" spans="1:19" hidden="1" x14ac:dyDescent="0.3">
      <c r="A793" t="s">
        <v>959</v>
      </c>
      <c r="B793" t="s">
        <v>960</v>
      </c>
      <c r="C793" t="s">
        <v>944</v>
      </c>
      <c r="D793">
        <v>19312</v>
      </c>
      <c r="E793" t="s">
        <v>321</v>
      </c>
      <c r="F793" t="s">
        <v>322</v>
      </c>
      <c r="G793" t="s">
        <v>323</v>
      </c>
      <c r="H793" t="s">
        <v>324</v>
      </c>
      <c r="I793" t="s">
        <v>31</v>
      </c>
      <c r="J793">
        <v>2453</v>
      </c>
      <c r="K793" t="s">
        <v>325</v>
      </c>
      <c r="L793">
        <v>5</v>
      </c>
      <c r="M793">
        <v>7.9607999999999999</v>
      </c>
      <c r="N793">
        <v>8</v>
      </c>
      <c r="O793">
        <v>0.43319999999999997</v>
      </c>
      <c r="P793" t="s">
        <v>27</v>
      </c>
      <c r="Q793">
        <v>2</v>
      </c>
      <c r="R793" t="s">
        <v>1272</v>
      </c>
      <c r="S793" t="str">
        <f t="shared" si="0"/>
        <v>ok</v>
      </c>
    </row>
    <row r="794" spans="1:19" hidden="1" x14ac:dyDescent="0.3">
      <c r="A794" t="s">
        <v>959</v>
      </c>
      <c r="B794" t="s">
        <v>960</v>
      </c>
      <c r="C794" t="s">
        <v>944</v>
      </c>
      <c r="D794">
        <v>20773</v>
      </c>
      <c r="E794" t="s">
        <v>109</v>
      </c>
      <c r="F794" t="s">
        <v>60</v>
      </c>
      <c r="G794" t="s">
        <v>41</v>
      </c>
      <c r="H794" t="s">
        <v>110</v>
      </c>
      <c r="I794" t="s">
        <v>25</v>
      </c>
      <c r="J794">
        <v>1156</v>
      </c>
      <c r="K794" t="s">
        <v>111</v>
      </c>
      <c r="N794">
        <v>5</v>
      </c>
      <c r="O794">
        <v>0.44219999999999998</v>
      </c>
      <c r="P794" t="s">
        <v>38</v>
      </c>
      <c r="Q794">
        <v>1</v>
      </c>
      <c r="R794" t="s">
        <v>1272</v>
      </c>
      <c r="S794" t="str">
        <f t="shared" si="0"/>
        <v>Phù hợp 1 phần</v>
      </c>
    </row>
    <row r="795" spans="1:19" hidden="1" x14ac:dyDescent="0.3">
      <c r="A795" t="s">
        <v>959</v>
      </c>
      <c r="B795" t="s">
        <v>960</v>
      </c>
      <c r="C795" t="s">
        <v>944</v>
      </c>
      <c r="D795">
        <v>9821</v>
      </c>
      <c r="E795" t="s">
        <v>21</v>
      </c>
      <c r="F795" t="s">
        <v>22</v>
      </c>
      <c r="G795" t="s">
        <v>23</v>
      </c>
      <c r="H795" t="s">
        <v>24</v>
      </c>
      <c r="I795" t="s">
        <v>25</v>
      </c>
      <c r="J795">
        <v>998</v>
      </c>
      <c r="K795" t="s">
        <v>26</v>
      </c>
      <c r="N795">
        <v>6</v>
      </c>
      <c r="O795">
        <v>0.44080000000000003</v>
      </c>
      <c r="P795" t="s">
        <v>38</v>
      </c>
      <c r="Q795">
        <v>2</v>
      </c>
      <c r="R795" t="s">
        <v>1272</v>
      </c>
      <c r="S795" t="str">
        <f t="shared" si="0"/>
        <v>ok</v>
      </c>
    </row>
    <row r="796" spans="1:19" hidden="1" x14ac:dyDescent="0.3">
      <c r="A796" t="s">
        <v>959</v>
      </c>
      <c r="B796" t="s">
        <v>960</v>
      </c>
      <c r="C796" t="s">
        <v>944</v>
      </c>
      <c r="D796">
        <v>10730</v>
      </c>
      <c r="E796" t="s">
        <v>317</v>
      </c>
      <c r="F796" t="s">
        <v>60</v>
      </c>
      <c r="G796" t="s">
        <v>318</v>
      </c>
      <c r="H796" t="s">
        <v>319</v>
      </c>
      <c r="I796" t="s">
        <v>25</v>
      </c>
      <c r="J796">
        <v>800</v>
      </c>
      <c r="K796" t="s">
        <v>320</v>
      </c>
      <c r="L796">
        <v>6</v>
      </c>
      <c r="M796">
        <v>7.8311999999999999</v>
      </c>
      <c r="P796" t="s">
        <v>33</v>
      </c>
      <c r="Q796">
        <v>1</v>
      </c>
      <c r="R796" t="s">
        <v>1272</v>
      </c>
      <c r="S796" t="str">
        <f t="shared" si="0"/>
        <v>Phù hợp 1 phần</v>
      </c>
    </row>
    <row r="797" spans="1:19" hidden="1" x14ac:dyDescent="0.3">
      <c r="A797" t="s">
        <v>959</v>
      </c>
      <c r="B797" t="s">
        <v>960</v>
      </c>
      <c r="C797" t="s">
        <v>944</v>
      </c>
      <c r="D797">
        <v>15839</v>
      </c>
      <c r="E797" t="s">
        <v>154</v>
      </c>
      <c r="F797" t="s">
        <v>155</v>
      </c>
      <c r="G797" t="s">
        <v>156</v>
      </c>
      <c r="H797" t="s">
        <v>157</v>
      </c>
      <c r="I797" t="s">
        <v>25</v>
      </c>
      <c r="J797">
        <v>298</v>
      </c>
      <c r="K797" t="s">
        <v>158</v>
      </c>
      <c r="L797">
        <v>7</v>
      </c>
      <c r="M797">
        <v>7.7728000000000002</v>
      </c>
      <c r="P797" t="s">
        <v>33</v>
      </c>
      <c r="Q797">
        <v>0</v>
      </c>
      <c r="R797" t="s">
        <v>1272</v>
      </c>
      <c r="S797" t="str">
        <f t="shared" si="0"/>
        <v>ko hợp</v>
      </c>
    </row>
    <row r="798" spans="1:19" hidden="1" x14ac:dyDescent="0.3">
      <c r="A798" t="s">
        <v>959</v>
      </c>
      <c r="B798" t="s">
        <v>960</v>
      </c>
      <c r="C798" t="s">
        <v>944</v>
      </c>
      <c r="D798">
        <v>18885</v>
      </c>
      <c r="E798" t="s">
        <v>86</v>
      </c>
      <c r="F798" t="s">
        <v>60</v>
      </c>
      <c r="G798" t="s">
        <v>87</v>
      </c>
      <c r="H798" t="s">
        <v>88</v>
      </c>
      <c r="I798" t="s">
        <v>31</v>
      </c>
      <c r="J798">
        <v>596</v>
      </c>
      <c r="K798" t="s">
        <v>89</v>
      </c>
      <c r="N798">
        <v>7</v>
      </c>
      <c r="O798">
        <v>0.43790000000000001</v>
      </c>
      <c r="P798" t="s">
        <v>38</v>
      </c>
      <c r="Q798">
        <v>1</v>
      </c>
      <c r="R798" t="s">
        <v>1272</v>
      </c>
      <c r="S798" t="str">
        <f t="shared" si="0"/>
        <v>Phù hợp 1 phần</v>
      </c>
    </row>
    <row r="799" spans="1:19" hidden="1" x14ac:dyDescent="0.3">
      <c r="A799" t="s">
        <v>959</v>
      </c>
      <c r="B799" t="s">
        <v>960</v>
      </c>
      <c r="C799" t="s">
        <v>944</v>
      </c>
      <c r="D799">
        <v>19110</v>
      </c>
      <c r="E799" t="s">
        <v>961</v>
      </c>
      <c r="F799" t="s">
        <v>22</v>
      </c>
      <c r="G799" t="s">
        <v>962</v>
      </c>
      <c r="H799" t="s">
        <v>963</v>
      </c>
      <c r="I799" t="s">
        <v>31</v>
      </c>
      <c r="J799">
        <v>250</v>
      </c>
      <c r="K799" t="s">
        <v>964</v>
      </c>
      <c r="L799">
        <v>8</v>
      </c>
      <c r="M799">
        <v>7.5617000000000001</v>
      </c>
      <c r="P799" t="s">
        <v>33</v>
      </c>
      <c r="Q799">
        <v>2</v>
      </c>
      <c r="R799" t="s">
        <v>1272</v>
      </c>
      <c r="S799" t="str">
        <f t="shared" si="0"/>
        <v>ok</v>
      </c>
    </row>
    <row r="800" spans="1:19" hidden="1" x14ac:dyDescent="0.3">
      <c r="A800" t="s">
        <v>959</v>
      </c>
      <c r="B800" t="s">
        <v>960</v>
      </c>
      <c r="C800" t="s">
        <v>944</v>
      </c>
      <c r="D800">
        <v>14007</v>
      </c>
      <c r="E800" t="s">
        <v>929</v>
      </c>
      <c r="F800" t="s">
        <v>22</v>
      </c>
      <c r="G800" t="s">
        <v>930</v>
      </c>
      <c r="H800" t="s">
        <v>931</v>
      </c>
      <c r="I800" t="s">
        <v>31</v>
      </c>
      <c r="J800">
        <v>570</v>
      </c>
      <c r="K800" t="s">
        <v>932</v>
      </c>
      <c r="L800">
        <v>9</v>
      </c>
      <c r="M800">
        <v>7.5350999999999999</v>
      </c>
      <c r="P800" t="s">
        <v>33</v>
      </c>
      <c r="Q800">
        <v>2</v>
      </c>
      <c r="R800" t="s">
        <v>1272</v>
      </c>
      <c r="S800" t="str">
        <f t="shared" si="0"/>
        <v>ok</v>
      </c>
    </row>
    <row r="801" spans="1:19" hidden="1" x14ac:dyDescent="0.3">
      <c r="A801" t="s">
        <v>959</v>
      </c>
      <c r="B801" t="s">
        <v>960</v>
      </c>
      <c r="C801" t="s">
        <v>944</v>
      </c>
      <c r="D801">
        <v>20803</v>
      </c>
      <c r="E801" t="s">
        <v>94</v>
      </c>
      <c r="F801" t="s">
        <v>95</v>
      </c>
      <c r="G801" t="s">
        <v>96</v>
      </c>
      <c r="H801" t="s">
        <v>97</v>
      </c>
      <c r="I801" t="s">
        <v>31</v>
      </c>
      <c r="J801">
        <v>100</v>
      </c>
      <c r="K801" t="s">
        <v>98</v>
      </c>
      <c r="N801">
        <v>9</v>
      </c>
      <c r="O801">
        <v>0.43169999999999997</v>
      </c>
      <c r="P801" t="s">
        <v>38</v>
      </c>
      <c r="Q801">
        <v>2</v>
      </c>
      <c r="R801" t="s">
        <v>1272</v>
      </c>
      <c r="S801" t="str">
        <f t="shared" si="0"/>
        <v>ok</v>
      </c>
    </row>
    <row r="802" spans="1:19" hidden="1" x14ac:dyDescent="0.3">
      <c r="A802" t="s">
        <v>959</v>
      </c>
      <c r="B802" t="s">
        <v>960</v>
      </c>
      <c r="C802" t="s">
        <v>944</v>
      </c>
      <c r="D802">
        <v>4828</v>
      </c>
      <c r="E802" t="s">
        <v>54</v>
      </c>
      <c r="F802" t="s">
        <v>55</v>
      </c>
      <c r="G802" t="s">
        <v>56</v>
      </c>
      <c r="H802" t="s">
        <v>57</v>
      </c>
      <c r="I802" t="s">
        <v>25</v>
      </c>
      <c r="J802">
        <v>546</v>
      </c>
      <c r="K802" t="s">
        <v>58</v>
      </c>
      <c r="L802">
        <v>10</v>
      </c>
      <c r="M802">
        <v>7.4268999999999998</v>
      </c>
      <c r="P802" t="s">
        <v>33</v>
      </c>
      <c r="Q802">
        <v>1</v>
      </c>
      <c r="R802" t="s">
        <v>1272</v>
      </c>
      <c r="S802" t="str">
        <f t="shared" si="0"/>
        <v>Phù hợp 1 phần</v>
      </c>
    </row>
    <row r="803" spans="1:19" hidden="1" x14ac:dyDescent="0.3">
      <c r="A803" t="s">
        <v>959</v>
      </c>
      <c r="B803" t="s">
        <v>960</v>
      </c>
      <c r="C803" t="s">
        <v>944</v>
      </c>
      <c r="D803">
        <v>20775</v>
      </c>
      <c r="E803" t="s">
        <v>368</v>
      </c>
      <c r="F803" t="s">
        <v>369</v>
      </c>
      <c r="G803" t="s">
        <v>41</v>
      </c>
      <c r="H803" t="s">
        <v>370</v>
      </c>
      <c r="I803" t="s">
        <v>25</v>
      </c>
      <c r="J803">
        <v>912</v>
      </c>
      <c r="K803" t="s">
        <v>371</v>
      </c>
      <c r="N803">
        <v>10</v>
      </c>
      <c r="O803">
        <v>0.43149999999999999</v>
      </c>
      <c r="P803" t="s">
        <v>38</v>
      </c>
      <c r="Q803">
        <v>1</v>
      </c>
      <c r="R803" t="s">
        <v>1272</v>
      </c>
      <c r="S803" t="str">
        <f t="shared" si="0"/>
        <v>Phù hợp 1 phần</v>
      </c>
    </row>
    <row r="804" spans="1:19" hidden="1" x14ac:dyDescent="0.3">
      <c r="A804" t="s">
        <v>965</v>
      </c>
      <c r="B804" t="s">
        <v>966</v>
      </c>
      <c r="C804" t="s">
        <v>944</v>
      </c>
      <c r="D804">
        <v>171</v>
      </c>
      <c r="E804" t="s">
        <v>102</v>
      </c>
      <c r="F804" t="s">
        <v>103</v>
      </c>
      <c r="G804" t="s">
        <v>104</v>
      </c>
      <c r="H804" t="s">
        <v>105</v>
      </c>
      <c r="I804" t="s">
        <v>31</v>
      </c>
      <c r="J804">
        <v>474</v>
      </c>
      <c r="K804" t="s">
        <v>106</v>
      </c>
      <c r="N804">
        <v>1</v>
      </c>
      <c r="O804">
        <v>0.46039999999999998</v>
      </c>
      <c r="P804" t="s">
        <v>38</v>
      </c>
      <c r="Q804">
        <v>2</v>
      </c>
      <c r="R804" t="s">
        <v>1272</v>
      </c>
      <c r="S804" t="str">
        <f t="shared" si="0"/>
        <v>ok</v>
      </c>
    </row>
    <row r="805" spans="1:19" hidden="1" x14ac:dyDescent="0.3">
      <c r="A805" t="s">
        <v>965</v>
      </c>
      <c r="B805" t="s">
        <v>966</v>
      </c>
      <c r="C805" t="s">
        <v>944</v>
      </c>
      <c r="D805">
        <v>19710</v>
      </c>
      <c r="E805" t="s">
        <v>199</v>
      </c>
      <c r="F805" t="s">
        <v>200</v>
      </c>
      <c r="G805" t="s">
        <v>201</v>
      </c>
      <c r="H805" t="s">
        <v>202</v>
      </c>
      <c r="I805" t="s">
        <v>31</v>
      </c>
      <c r="J805">
        <v>262</v>
      </c>
      <c r="K805" t="s">
        <v>203</v>
      </c>
      <c r="L805">
        <v>1</v>
      </c>
      <c r="M805">
        <v>12.4191</v>
      </c>
      <c r="P805" t="s">
        <v>33</v>
      </c>
      <c r="Q805">
        <v>1</v>
      </c>
      <c r="R805" t="s">
        <v>1272</v>
      </c>
      <c r="S805" t="str">
        <f t="shared" si="0"/>
        <v>Phù hợp 1 phần</v>
      </c>
    </row>
    <row r="806" spans="1:19" hidden="1" x14ac:dyDescent="0.3">
      <c r="A806" t="s">
        <v>965</v>
      </c>
      <c r="B806" t="s">
        <v>966</v>
      </c>
      <c r="C806" t="s">
        <v>944</v>
      </c>
      <c r="D806">
        <v>16290</v>
      </c>
      <c r="E806" t="s">
        <v>799</v>
      </c>
      <c r="F806" t="s">
        <v>74</v>
      </c>
      <c r="G806" t="s">
        <v>800</v>
      </c>
      <c r="H806" t="s">
        <v>801</v>
      </c>
      <c r="I806" t="s">
        <v>25</v>
      </c>
      <c r="J806">
        <v>511</v>
      </c>
      <c r="K806" t="s">
        <v>802</v>
      </c>
      <c r="N806">
        <v>2</v>
      </c>
      <c r="O806">
        <v>0.4551</v>
      </c>
      <c r="P806" t="s">
        <v>38</v>
      </c>
      <c r="Q806">
        <v>1</v>
      </c>
      <c r="R806" t="s">
        <v>1272</v>
      </c>
      <c r="S806" t="str">
        <f t="shared" si="0"/>
        <v>Phù hợp 1 phần</v>
      </c>
    </row>
    <row r="807" spans="1:19" hidden="1" x14ac:dyDescent="0.3">
      <c r="A807" t="s">
        <v>965</v>
      </c>
      <c r="B807" t="s">
        <v>966</v>
      </c>
      <c r="C807" t="s">
        <v>944</v>
      </c>
      <c r="D807">
        <v>19982</v>
      </c>
      <c r="E807" t="s">
        <v>28</v>
      </c>
      <c r="F807" t="s">
        <v>22</v>
      </c>
      <c r="G807" t="s">
        <v>29</v>
      </c>
      <c r="H807" t="s">
        <v>30</v>
      </c>
      <c r="I807" t="s">
        <v>31</v>
      </c>
      <c r="J807">
        <v>543</v>
      </c>
      <c r="K807" t="s">
        <v>32</v>
      </c>
      <c r="L807">
        <v>2</v>
      </c>
      <c r="M807">
        <v>11.132</v>
      </c>
      <c r="P807" t="s">
        <v>33</v>
      </c>
      <c r="Q807">
        <v>1</v>
      </c>
      <c r="R807" t="s">
        <v>1272</v>
      </c>
      <c r="S807" t="str">
        <f t="shared" si="0"/>
        <v>Phù hợp 1 phần</v>
      </c>
    </row>
    <row r="808" spans="1:19" hidden="1" x14ac:dyDescent="0.3">
      <c r="A808" t="s">
        <v>965</v>
      </c>
      <c r="B808" t="s">
        <v>966</v>
      </c>
      <c r="C808" t="s">
        <v>944</v>
      </c>
      <c r="D808">
        <v>17533</v>
      </c>
      <c r="E808" t="s">
        <v>746</v>
      </c>
      <c r="F808" t="s">
        <v>60</v>
      </c>
      <c r="G808" t="s">
        <v>719</v>
      </c>
      <c r="H808" t="s">
        <v>747</v>
      </c>
      <c r="I808" t="s">
        <v>25</v>
      </c>
      <c r="J808">
        <v>907</v>
      </c>
      <c r="K808" t="s">
        <v>748</v>
      </c>
      <c r="L808">
        <v>3</v>
      </c>
      <c r="M808">
        <v>7.9954000000000001</v>
      </c>
      <c r="P808" t="s">
        <v>33</v>
      </c>
      <c r="Q808">
        <v>2</v>
      </c>
      <c r="R808" t="s">
        <v>1272</v>
      </c>
      <c r="S808" t="str">
        <f t="shared" si="0"/>
        <v>ok</v>
      </c>
    </row>
    <row r="809" spans="1:19" hidden="1" x14ac:dyDescent="0.3">
      <c r="A809" t="s">
        <v>965</v>
      </c>
      <c r="B809" t="s">
        <v>966</v>
      </c>
      <c r="C809" t="s">
        <v>944</v>
      </c>
      <c r="D809">
        <v>20773</v>
      </c>
      <c r="E809" t="s">
        <v>109</v>
      </c>
      <c r="F809" t="s">
        <v>60</v>
      </c>
      <c r="G809" t="s">
        <v>41</v>
      </c>
      <c r="H809" t="s">
        <v>110</v>
      </c>
      <c r="I809" t="s">
        <v>25</v>
      </c>
      <c r="J809">
        <v>1156</v>
      </c>
      <c r="K809" t="s">
        <v>111</v>
      </c>
      <c r="N809">
        <v>3</v>
      </c>
      <c r="O809">
        <v>0.45119999999999999</v>
      </c>
      <c r="P809" t="s">
        <v>38</v>
      </c>
      <c r="Q809">
        <v>2</v>
      </c>
      <c r="R809" t="s">
        <v>1272</v>
      </c>
      <c r="S809" t="str">
        <f t="shared" si="0"/>
        <v>ok</v>
      </c>
    </row>
    <row r="810" spans="1:19" hidden="1" x14ac:dyDescent="0.3">
      <c r="A810" t="s">
        <v>965</v>
      </c>
      <c r="B810" t="s">
        <v>966</v>
      </c>
      <c r="C810" t="s">
        <v>944</v>
      </c>
      <c r="D810">
        <v>9820</v>
      </c>
      <c r="E810" t="s">
        <v>150</v>
      </c>
      <c r="F810" t="s">
        <v>60</v>
      </c>
      <c r="G810" t="s">
        <v>151</v>
      </c>
      <c r="H810" t="s">
        <v>152</v>
      </c>
      <c r="I810" t="s">
        <v>25</v>
      </c>
      <c r="J810">
        <v>2512</v>
      </c>
      <c r="K810" t="s">
        <v>153</v>
      </c>
      <c r="N810">
        <v>4</v>
      </c>
      <c r="O810">
        <v>0.44</v>
      </c>
      <c r="P810" t="s">
        <v>38</v>
      </c>
      <c r="Q810">
        <v>2</v>
      </c>
      <c r="R810" t="s">
        <v>1272</v>
      </c>
      <c r="S810" t="str">
        <f t="shared" si="0"/>
        <v>ok</v>
      </c>
    </row>
    <row r="811" spans="1:19" hidden="1" x14ac:dyDescent="0.3">
      <c r="A811" t="s">
        <v>965</v>
      </c>
      <c r="B811" t="s">
        <v>966</v>
      </c>
      <c r="C811" t="s">
        <v>944</v>
      </c>
      <c r="D811">
        <v>15839</v>
      </c>
      <c r="E811" t="s">
        <v>154</v>
      </c>
      <c r="F811" t="s">
        <v>155</v>
      </c>
      <c r="G811" t="s">
        <v>156</v>
      </c>
      <c r="H811" t="s">
        <v>157</v>
      </c>
      <c r="I811" t="s">
        <v>25</v>
      </c>
      <c r="J811">
        <v>298</v>
      </c>
      <c r="K811" t="s">
        <v>158</v>
      </c>
      <c r="L811">
        <v>4</v>
      </c>
      <c r="M811">
        <v>7.7728000000000002</v>
      </c>
      <c r="P811" t="s">
        <v>33</v>
      </c>
      <c r="Q811">
        <v>0</v>
      </c>
      <c r="R811" t="s">
        <v>1272</v>
      </c>
      <c r="S811" t="str">
        <f t="shared" si="0"/>
        <v>ko hợp</v>
      </c>
    </row>
    <row r="812" spans="1:19" hidden="1" x14ac:dyDescent="0.3">
      <c r="A812" t="s">
        <v>965</v>
      </c>
      <c r="B812" t="s">
        <v>966</v>
      </c>
      <c r="C812" t="s">
        <v>944</v>
      </c>
      <c r="D812">
        <v>10730</v>
      </c>
      <c r="E812" t="s">
        <v>317</v>
      </c>
      <c r="F812" t="s">
        <v>60</v>
      </c>
      <c r="G812" t="s">
        <v>318</v>
      </c>
      <c r="H812" t="s">
        <v>319</v>
      </c>
      <c r="I812" t="s">
        <v>25</v>
      </c>
      <c r="J812">
        <v>800</v>
      </c>
      <c r="K812" t="s">
        <v>320</v>
      </c>
      <c r="L812">
        <v>5</v>
      </c>
      <c r="M812">
        <v>7.4302999999999999</v>
      </c>
      <c r="P812" t="s">
        <v>33</v>
      </c>
      <c r="Q812">
        <v>2</v>
      </c>
      <c r="R812" t="s">
        <v>1272</v>
      </c>
      <c r="S812" t="str">
        <f t="shared" si="0"/>
        <v>ok</v>
      </c>
    </row>
    <row r="813" spans="1:19" hidden="1" x14ac:dyDescent="0.3">
      <c r="A813" t="s">
        <v>965</v>
      </c>
      <c r="B813" t="s">
        <v>966</v>
      </c>
      <c r="C813" t="s">
        <v>944</v>
      </c>
      <c r="D813">
        <v>20293</v>
      </c>
      <c r="E813" t="s">
        <v>419</v>
      </c>
      <c r="F813" t="s">
        <v>420</v>
      </c>
      <c r="G813" t="s">
        <v>421</v>
      </c>
      <c r="H813" t="s">
        <v>422</v>
      </c>
      <c r="I813" t="s">
        <v>25</v>
      </c>
      <c r="J813">
        <v>2164</v>
      </c>
      <c r="K813" t="s">
        <v>423</v>
      </c>
      <c r="N813">
        <v>5</v>
      </c>
      <c r="O813">
        <v>0.43780000000000002</v>
      </c>
      <c r="P813" t="s">
        <v>38</v>
      </c>
      <c r="Q813">
        <v>1</v>
      </c>
      <c r="R813" t="s">
        <v>1272</v>
      </c>
      <c r="S813" t="str">
        <f t="shared" si="0"/>
        <v>Phù hợp 1 phần</v>
      </c>
    </row>
    <row r="814" spans="1:19" hidden="1" x14ac:dyDescent="0.3">
      <c r="A814" t="s">
        <v>965</v>
      </c>
      <c r="B814" t="s">
        <v>966</v>
      </c>
      <c r="C814" t="s">
        <v>944</v>
      </c>
      <c r="D814">
        <v>16145</v>
      </c>
      <c r="E814" t="s">
        <v>182</v>
      </c>
      <c r="F814" t="s">
        <v>155</v>
      </c>
      <c r="G814" t="s">
        <v>183</v>
      </c>
      <c r="H814" t="s">
        <v>184</v>
      </c>
      <c r="I814" t="s">
        <v>31</v>
      </c>
      <c r="J814">
        <v>2447</v>
      </c>
      <c r="K814" t="s">
        <v>185</v>
      </c>
      <c r="L814">
        <v>6</v>
      </c>
      <c r="M814">
        <v>6.7976000000000001</v>
      </c>
      <c r="P814" t="s">
        <v>33</v>
      </c>
      <c r="Q814">
        <v>1</v>
      </c>
      <c r="R814" t="s">
        <v>1272</v>
      </c>
      <c r="S814" t="str">
        <f t="shared" si="0"/>
        <v>Phù hợp 1 phần</v>
      </c>
    </row>
    <row r="815" spans="1:19" hidden="1" x14ac:dyDescent="0.3">
      <c r="A815" t="s">
        <v>965</v>
      </c>
      <c r="B815" t="s">
        <v>966</v>
      </c>
      <c r="C815" t="s">
        <v>944</v>
      </c>
      <c r="D815">
        <v>18885</v>
      </c>
      <c r="E815" t="s">
        <v>86</v>
      </c>
      <c r="F815" t="s">
        <v>60</v>
      </c>
      <c r="G815" t="s">
        <v>87</v>
      </c>
      <c r="H815" t="s">
        <v>88</v>
      </c>
      <c r="I815" t="s">
        <v>31</v>
      </c>
      <c r="J815">
        <v>596</v>
      </c>
      <c r="K815" t="s">
        <v>89</v>
      </c>
      <c r="N815">
        <v>6</v>
      </c>
      <c r="O815">
        <v>0.43759999999999999</v>
      </c>
      <c r="P815" t="s">
        <v>38</v>
      </c>
      <c r="Q815">
        <v>1</v>
      </c>
      <c r="R815" t="s">
        <v>1272</v>
      </c>
      <c r="S815" t="str">
        <f t="shared" si="0"/>
        <v>Phù hợp 1 phần</v>
      </c>
    </row>
    <row r="816" spans="1:19" hidden="1" x14ac:dyDescent="0.3">
      <c r="A816" t="s">
        <v>965</v>
      </c>
      <c r="B816" t="s">
        <v>966</v>
      </c>
      <c r="C816" t="s">
        <v>944</v>
      </c>
      <c r="D816">
        <v>16211</v>
      </c>
      <c r="E816" t="s">
        <v>266</v>
      </c>
      <c r="F816" t="s">
        <v>74</v>
      </c>
      <c r="G816" t="s">
        <v>267</v>
      </c>
      <c r="H816" t="s">
        <v>268</v>
      </c>
      <c r="I816" t="s">
        <v>31</v>
      </c>
      <c r="J816">
        <v>1579</v>
      </c>
      <c r="K816" t="s">
        <v>269</v>
      </c>
      <c r="N816">
        <v>7</v>
      </c>
      <c r="O816">
        <v>0.43580000000000002</v>
      </c>
      <c r="P816" t="s">
        <v>38</v>
      </c>
      <c r="Q816">
        <v>0</v>
      </c>
      <c r="R816" t="s">
        <v>1272</v>
      </c>
      <c r="S816" t="str">
        <f t="shared" si="0"/>
        <v>ko hợp</v>
      </c>
    </row>
    <row r="817" spans="1:19" hidden="1" x14ac:dyDescent="0.3">
      <c r="A817" t="s">
        <v>965</v>
      </c>
      <c r="B817" t="s">
        <v>966</v>
      </c>
      <c r="C817" t="s">
        <v>944</v>
      </c>
      <c r="D817">
        <v>19505</v>
      </c>
      <c r="E817" t="s">
        <v>328</v>
      </c>
      <c r="F817" t="s">
        <v>288</v>
      </c>
      <c r="G817" t="s">
        <v>329</v>
      </c>
      <c r="H817" t="s">
        <v>330</v>
      </c>
      <c r="I817" t="s">
        <v>31</v>
      </c>
      <c r="J817">
        <v>233</v>
      </c>
      <c r="K817" t="s">
        <v>331</v>
      </c>
      <c r="L817">
        <v>7</v>
      </c>
      <c r="M817">
        <v>6.4539</v>
      </c>
      <c r="P817" t="s">
        <v>33</v>
      </c>
      <c r="Q817">
        <v>1</v>
      </c>
      <c r="R817" t="s">
        <v>1272</v>
      </c>
      <c r="S817" t="str">
        <f t="shared" si="0"/>
        <v>Phù hợp 1 phần</v>
      </c>
    </row>
    <row r="818" spans="1:19" hidden="1" x14ac:dyDescent="0.3">
      <c r="A818" t="s">
        <v>965</v>
      </c>
      <c r="B818" t="s">
        <v>966</v>
      </c>
      <c r="C818" t="s">
        <v>944</v>
      </c>
      <c r="D818">
        <v>16756</v>
      </c>
      <c r="E818" t="s">
        <v>764</v>
      </c>
      <c r="F818" t="s">
        <v>155</v>
      </c>
      <c r="G818" t="s">
        <v>235</v>
      </c>
      <c r="H818" t="s">
        <v>765</v>
      </c>
      <c r="I818" t="s">
        <v>25</v>
      </c>
      <c r="J818">
        <v>344</v>
      </c>
      <c r="K818" t="s">
        <v>766</v>
      </c>
      <c r="L818">
        <v>8</v>
      </c>
      <c r="M818">
        <v>6.3254999999999999</v>
      </c>
      <c r="P818" t="s">
        <v>33</v>
      </c>
      <c r="Q818">
        <v>1</v>
      </c>
      <c r="R818" t="s">
        <v>1272</v>
      </c>
      <c r="S818" t="str">
        <f t="shared" si="0"/>
        <v>Phù hợp 1 phần</v>
      </c>
    </row>
    <row r="819" spans="1:19" hidden="1" x14ac:dyDescent="0.3">
      <c r="A819" t="s">
        <v>965</v>
      </c>
      <c r="B819" t="s">
        <v>966</v>
      </c>
      <c r="C819" t="s">
        <v>944</v>
      </c>
      <c r="D819">
        <v>20775</v>
      </c>
      <c r="E819" t="s">
        <v>368</v>
      </c>
      <c r="F819" t="s">
        <v>369</v>
      </c>
      <c r="G819" t="s">
        <v>41</v>
      </c>
      <c r="H819" t="s">
        <v>370</v>
      </c>
      <c r="I819" t="s">
        <v>25</v>
      </c>
      <c r="J819">
        <v>912</v>
      </c>
      <c r="K819" t="s">
        <v>371</v>
      </c>
      <c r="N819">
        <v>8</v>
      </c>
      <c r="O819">
        <v>0.43359999999999999</v>
      </c>
      <c r="P819" t="s">
        <v>38</v>
      </c>
      <c r="Q819">
        <v>0</v>
      </c>
      <c r="R819" t="s">
        <v>1272</v>
      </c>
      <c r="S819" t="str">
        <f t="shared" si="0"/>
        <v>ko hợp</v>
      </c>
    </row>
    <row r="820" spans="1:19" hidden="1" x14ac:dyDescent="0.3">
      <c r="A820" t="s">
        <v>965</v>
      </c>
      <c r="B820" t="s">
        <v>966</v>
      </c>
      <c r="C820" t="s">
        <v>944</v>
      </c>
      <c r="D820">
        <v>11918</v>
      </c>
      <c r="E820" t="s">
        <v>133</v>
      </c>
      <c r="F820" t="s">
        <v>60</v>
      </c>
      <c r="G820" t="s">
        <v>134</v>
      </c>
      <c r="H820" t="s">
        <v>135</v>
      </c>
      <c r="I820" t="s">
        <v>25</v>
      </c>
      <c r="J820">
        <v>3604</v>
      </c>
      <c r="K820" t="s">
        <v>136</v>
      </c>
      <c r="N820">
        <v>9</v>
      </c>
      <c r="O820">
        <v>0.43259999999999998</v>
      </c>
      <c r="P820" t="s">
        <v>38</v>
      </c>
      <c r="Q820">
        <v>1</v>
      </c>
      <c r="R820" t="s">
        <v>1272</v>
      </c>
      <c r="S820" t="str">
        <f t="shared" si="0"/>
        <v>Phù hợp 1 phần</v>
      </c>
    </row>
    <row r="821" spans="1:19" hidden="1" x14ac:dyDescent="0.3">
      <c r="A821" t="s">
        <v>965</v>
      </c>
      <c r="B821" t="s">
        <v>966</v>
      </c>
      <c r="C821" t="s">
        <v>944</v>
      </c>
      <c r="D821">
        <v>13532</v>
      </c>
      <c r="E821" t="s">
        <v>967</v>
      </c>
      <c r="F821" t="s">
        <v>288</v>
      </c>
      <c r="G821" t="s">
        <v>968</v>
      </c>
      <c r="H821" t="s">
        <v>969</v>
      </c>
      <c r="I821" t="s">
        <v>31</v>
      </c>
      <c r="J821">
        <v>622</v>
      </c>
      <c r="K821" t="s">
        <v>970</v>
      </c>
      <c r="L821">
        <v>9</v>
      </c>
      <c r="M821">
        <v>6.2257999999999996</v>
      </c>
      <c r="P821" t="s">
        <v>33</v>
      </c>
      <c r="Q821">
        <v>1</v>
      </c>
      <c r="R821" t="s">
        <v>1272</v>
      </c>
      <c r="S821" t="str">
        <f t="shared" si="0"/>
        <v>Phù hợp 1 phần</v>
      </c>
    </row>
    <row r="822" spans="1:19" hidden="1" x14ac:dyDescent="0.3">
      <c r="A822" t="s">
        <v>965</v>
      </c>
      <c r="B822" t="s">
        <v>966</v>
      </c>
      <c r="C822" t="s">
        <v>944</v>
      </c>
      <c r="D822">
        <v>17487</v>
      </c>
      <c r="E822" t="s">
        <v>641</v>
      </c>
      <c r="F822" t="s">
        <v>155</v>
      </c>
      <c r="G822" t="s">
        <v>642</v>
      </c>
      <c r="H822" t="s">
        <v>643</v>
      </c>
      <c r="I822" t="s">
        <v>25</v>
      </c>
      <c r="J822">
        <v>827</v>
      </c>
      <c r="K822" t="s">
        <v>644</v>
      </c>
      <c r="N822">
        <v>10</v>
      </c>
      <c r="O822">
        <v>0.42809999999999998</v>
      </c>
      <c r="P822" t="s">
        <v>38</v>
      </c>
      <c r="Q822">
        <v>1</v>
      </c>
      <c r="R822" t="s">
        <v>1272</v>
      </c>
      <c r="S822" t="str">
        <f t="shared" si="0"/>
        <v>Phù hợp 1 phần</v>
      </c>
    </row>
    <row r="823" spans="1:19" hidden="1" x14ac:dyDescent="0.3">
      <c r="A823" t="s">
        <v>965</v>
      </c>
      <c r="B823" t="s">
        <v>966</v>
      </c>
      <c r="C823" t="s">
        <v>944</v>
      </c>
      <c r="D823">
        <v>17792</v>
      </c>
      <c r="E823" t="s">
        <v>229</v>
      </c>
      <c r="F823" t="s">
        <v>230</v>
      </c>
      <c r="G823" t="s">
        <v>231</v>
      </c>
      <c r="H823" t="s">
        <v>232</v>
      </c>
      <c r="I823" t="s">
        <v>31</v>
      </c>
      <c r="J823">
        <v>564</v>
      </c>
      <c r="K823" t="s">
        <v>233</v>
      </c>
      <c r="L823">
        <v>10</v>
      </c>
      <c r="M823">
        <v>6.0852000000000004</v>
      </c>
      <c r="P823" t="s">
        <v>33</v>
      </c>
      <c r="Q823">
        <v>1</v>
      </c>
      <c r="R823" t="s">
        <v>1272</v>
      </c>
      <c r="S823" t="str">
        <f t="shared" si="0"/>
        <v>Phù hợp 1 phần</v>
      </c>
    </row>
    <row r="824" spans="1:19" hidden="1" x14ac:dyDescent="0.3">
      <c r="A824" t="s">
        <v>971</v>
      </c>
      <c r="B824" t="s">
        <v>972</v>
      </c>
      <c r="C824" t="s">
        <v>944</v>
      </c>
      <c r="D824">
        <v>15839</v>
      </c>
      <c r="E824" t="s">
        <v>154</v>
      </c>
      <c r="F824" t="s">
        <v>155</v>
      </c>
      <c r="G824" t="s">
        <v>156</v>
      </c>
      <c r="H824" t="s">
        <v>157</v>
      </c>
      <c r="I824" t="s">
        <v>25</v>
      </c>
      <c r="J824">
        <v>298</v>
      </c>
      <c r="K824" t="s">
        <v>158</v>
      </c>
      <c r="L824">
        <v>1</v>
      </c>
      <c r="M824">
        <v>12.2311</v>
      </c>
      <c r="P824" t="s">
        <v>33</v>
      </c>
      <c r="Q824">
        <v>1</v>
      </c>
      <c r="R824" t="s">
        <v>1272</v>
      </c>
      <c r="S824" t="str">
        <f t="shared" si="0"/>
        <v>Phù hợp 1 phần</v>
      </c>
    </row>
    <row r="825" spans="1:19" hidden="1" x14ac:dyDescent="0.3">
      <c r="A825" t="s">
        <v>971</v>
      </c>
      <c r="B825" t="s">
        <v>972</v>
      </c>
      <c r="C825" t="s">
        <v>944</v>
      </c>
      <c r="D825">
        <v>20595</v>
      </c>
      <c r="E825" t="s">
        <v>190</v>
      </c>
      <c r="F825" t="s">
        <v>191</v>
      </c>
      <c r="G825" t="s">
        <v>192</v>
      </c>
      <c r="H825" t="s">
        <v>193</v>
      </c>
      <c r="I825" t="s">
        <v>25</v>
      </c>
      <c r="J825">
        <v>2941</v>
      </c>
      <c r="K825" t="s">
        <v>194</v>
      </c>
      <c r="N825">
        <v>1</v>
      </c>
      <c r="O825">
        <v>0.46970000000000001</v>
      </c>
      <c r="P825" t="s">
        <v>38</v>
      </c>
      <c r="Q825">
        <v>2</v>
      </c>
      <c r="R825" t="s">
        <v>1272</v>
      </c>
      <c r="S825" t="str">
        <f t="shared" si="0"/>
        <v>ok</v>
      </c>
    </row>
    <row r="826" spans="1:19" hidden="1" x14ac:dyDescent="0.3">
      <c r="A826" t="s">
        <v>971</v>
      </c>
      <c r="B826" t="s">
        <v>972</v>
      </c>
      <c r="C826" t="s">
        <v>944</v>
      </c>
      <c r="D826">
        <v>16395</v>
      </c>
      <c r="E826" t="s">
        <v>657</v>
      </c>
      <c r="F826" t="s">
        <v>155</v>
      </c>
      <c r="G826" t="s">
        <v>658</v>
      </c>
      <c r="H826" t="s">
        <v>659</v>
      </c>
      <c r="I826" t="s">
        <v>25</v>
      </c>
      <c r="J826">
        <v>1358</v>
      </c>
      <c r="K826" t="s">
        <v>660</v>
      </c>
      <c r="L826">
        <v>7</v>
      </c>
      <c r="M826">
        <v>8.5573999999999995</v>
      </c>
      <c r="N826">
        <v>2</v>
      </c>
      <c r="O826">
        <v>0.45340000000000003</v>
      </c>
      <c r="P826" t="s">
        <v>27</v>
      </c>
      <c r="Q826">
        <v>2</v>
      </c>
      <c r="R826" t="s">
        <v>1272</v>
      </c>
      <c r="S826" t="str">
        <f t="shared" si="0"/>
        <v>ok</v>
      </c>
    </row>
    <row r="827" spans="1:19" hidden="1" x14ac:dyDescent="0.3">
      <c r="A827" t="s">
        <v>971</v>
      </c>
      <c r="B827" t="s">
        <v>972</v>
      </c>
      <c r="C827" t="s">
        <v>944</v>
      </c>
      <c r="D827">
        <v>19982</v>
      </c>
      <c r="E827" t="s">
        <v>28</v>
      </c>
      <c r="F827" t="s">
        <v>22</v>
      </c>
      <c r="G827" t="s">
        <v>29</v>
      </c>
      <c r="H827" t="s">
        <v>30</v>
      </c>
      <c r="I827" t="s">
        <v>31</v>
      </c>
      <c r="J827">
        <v>543</v>
      </c>
      <c r="K827" t="s">
        <v>32</v>
      </c>
      <c r="L827">
        <v>2</v>
      </c>
      <c r="M827">
        <v>11.8735</v>
      </c>
      <c r="P827" t="s">
        <v>33</v>
      </c>
      <c r="Q827">
        <v>1</v>
      </c>
      <c r="R827" t="s">
        <v>1272</v>
      </c>
      <c r="S827" t="str">
        <f t="shared" si="0"/>
        <v>Phù hợp 1 phần</v>
      </c>
    </row>
    <row r="828" spans="1:19" hidden="1" x14ac:dyDescent="0.3">
      <c r="A828" t="s">
        <v>971</v>
      </c>
      <c r="B828" t="s">
        <v>972</v>
      </c>
      <c r="C828" t="s">
        <v>944</v>
      </c>
      <c r="D828">
        <v>19710</v>
      </c>
      <c r="E828" t="s">
        <v>199</v>
      </c>
      <c r="F828" t="s">
        <v>200</v>
      </c>
      <c r="G828" t="s">
        <v>201</v>
      </c>
      <c r="H828" t="s">
        <v>202</v>
      </c>
      <c r="I828" t="s">
        <v>31</v>
      </c>
      <c r="J828">
        <v>262</v>
      </c>
      <c r="K828" t="s">
        <v>203</v>
      </c>
      <c r="L828">
        <v>3</v>
      </c>
      <c r="M828">
        <v>9.6824999999999992</v>
      </c>
      <c r="P828" t="s">
        <v>33</v>
      </c>
      <c r="Q828">
        <v>2</v>
      </c>
      <c r="R828" t="s">
        <v>1272</v>
      </c>
      <c r="S828" t="str">
        <f t="shared" si="0"/>
        <v>ok</v>
      </c>
    </row>
    <row r="829" spans="1:19" hidden="1" x14ac:dyDescent="0.3">
      <c r="A829" t="s">
        <v>971</v>
      </c>
      <c r="B829" t="s">
        <v>972</v>
      </c>
      <c r="C829" t="s">
        <v>944</v>
      </c>
      <c r="D829">
        <v>20185</v>
      </c>
      <c r="E829" t="s">
        <v>885</v>
      </c>
      <c r="F829" t="s">
        <v>842</v>
      </c>
      <c r="G829" t="s">
        <v>886</v>
      </c>
      <c r="H829" t="s">
        <v>887</v>
      </c>
      <c r="I829" t="s">
        <v>31</v>
      </c>
      <c r="J829">
        <v>674</v>
      </c>
      <c r="K829" t="s">
        <v>888</v>
      </c>
      <c r="L829">
        <v>6</v>
      </c>
      <c r="M829">
        <v>8.6100999999999992</v>
      </c>
      <c r="N829">
        <v>3</v>
      </c>
      <c r="O829">
        <v>0.4219</v>
      </c>
      <c r="P829" t="s">
        <v>27</v>
      </c>
      <c r="Q829">
        <v>2</v>
      </c>
      <c r="R829" t="s">
        <v>1272</v>
      </c>
      <c r="S829" t="str">
        <f t="shared" si="0"/>
        <v>ok</v>
      </c>
    </row>
    <row r="830" spans="1:19" hidden="1" x14ac:dyDescent="0.3">
      <c r="A830" t="s">
        <v>971</v>
      </c>
      <c r="B830" t="s">
        <v>972</v>
      </c>
      <c r="C830" t="s">
        <v>944</v>
      </c>
      <c r="D830">
        <v>541</v>
      </c>
      <c r="E830" t="s">
        <v>170</v>
      </c>
      <c r="F830" t="s">
        <v>155</v>
      </c>
      <c r="G830" t="s">
        <v>171</v>
      </c>
      <c r="H830" t="s">
        <v>172</v>
      </c>
      <c r="I830" t="s">
        <v>25</v>
      </c>
      <c r="J830">
        <v>738</v>
      </c>
      <c r="K830" t="s">
        <v>173</v>
      </c>
      <c r="L830">
        <v>4</v>
      </c>
      <c r="M830">
        <v>9.2408999999999999</v>
      </c>
      <c r="P830" t="s">
        <v>33</v>
      </c>
      <c r="Q830">
        <v>1</v>
      </c>
      <c r="R830" t="s">
        <v>1272</v>
      </c>
      <c r="S830" t="str">
        <f t="shared" si="0"/>
        <v>Phù hợp 1 phần</v>
      </c>
    </row>
    <row r="831" spans="1:19" hidden="1" x14ac:dyDescent="0.3">
      <c r="A831" t="s">
        <v>971</v>
      </c>
      <c r="B831" t="s">
        <v>972</v>
      </c>
      <c r="C831" t="s">
        <v>944</v>
      </c>
      <c r="D831">
        <v>8524</v>
      </c>
      <c r="E831" t="s">
        <v>676</v>
      </c>
      <c r="F831" t="s">
        <v>668</v>
      </c>
      <c r="G831" t="s">
        <v>677</v>
      </c>
      <c r="H831" t="s">
        <v>678</v>
      </c>
      <c r="I831" t="s">
        <v>25</v>
      </c>
      <c r="J831">
        <v>226</v>
      </c>
      <c r="K831" t="s">
        <v>679</v>
      </c>
      <c r="N831">
        <v>4</v>
      </c>
      <c r="O831">
        <v>0.41949999999999998</v>
      </c>
      <c r="P831" t="s">
        <v>38</v>
      </c>
      <c r="Q831">
        <v>2</v>
      </c>
      <c r="R831" t="s">
        <v>1272</v>
      </c>
      <c r="S831" t="str">
        <f t="shared" si="0"/>
        <v>ok</v>
      </c>
    </row>
    <row r="832" spans="1:19" hidden="1" x14ac:dyDescent="0.3">
      <c r="A832" t="s">
        <v>971</v>
      </c>
      <c r="B832" t="s">
        <v>972</v>
      </c>
      <c r="C832" t="s">
        <v>944</v>
      </c>
      <c r="D832">
        <v>12188</v>
      </c>
      <c r="E832" t="s">
        <v>680</v>
      </c>
      <c r="F832" t="s">
        <v>668</v>
      </c>
      <c r="G832" t="s">
        <v>681</v>
      </c>
      <c r="H832" t="s">
        <v>682</v>
      </c>
      <c r="I832" t="s">
        <v>31</v>
      </c>
      <c r="J832">
        <v>637</v>
      </c>
      <c r="K832" t="s">
        <v>683</v>
      </c>
      <c r="N832">
        <v>5</v>
      </c>
      <c r="O832">
        <v>0.41739999999999999</v>
      </c>
      <c r="P832" t="s">
        <v>38</v>
      </c>
      <c r="Q832">
        <v>2</v>
      </c>
      <c r="R832" t="s">
        <v>1272</v>
      </c>
      <c r="S832" t="str">
        <f t="shared" si="0"/>
        <v>ok</v>
      </c>
    </row>
    <row r="833" spans="1:19" hidden="1" x14ac:dyDescent="0.3">
      <c r="A833" t="s">
        <v>971</v>
      </c>
      <c r="B833" t="s">
        <v>972</v>
      </c>
      <c r="C833" t="s">
        <v>944</v>
      </c>
      <c r="D833">
        <v>20776</v>
      </c>
      <c r="E833" t="s">
        <v>739</v>
      </c>
      <c r="F833" t="s">
        <v>740</v>
      </c>
      <c r="G833" t="s">
        <v>741</v>
      </c>
      <c r="H833" t="s">
        <v>742</v>
      </c>
      <c r="I833" t="s">
        <v>31</v>
      </c>
      <c r="J833">
        <v>386</v>
      </c>
      <c r="K833" t="s">
        <v>743</v>
      </c>
      <c r="L833">
        <v>5</v>
      </c>
      <c r="M833">
        <v>8.8312000000000008</v>
      </c>
      <c r="P833" t="s">
        <v>33</v>
      </c>
      <c r="Q833">
        <v>1</v>
      </c>
      <c r="R833" t="s">
        <v>1272</v>
      </c>
      <c r="S833" t="str">
        <f t="shared" si="0"/>
        <v>Phù hợp 1 phần</v>
      </c>
    </row>
    <row r="834" spans="1:19" hidden="1" x14ac:dyDescent="0.3">
      <c r="A834" t="s">
        <v>971</v>
      </c>
      <c r="B834" t="s">
        <v>972</v>
      </c>
      <c r="C834" t="s">
        <v>944</v>
      </c>
      <c r="D834">
        <v>18381</v>
      </c>
      <c r="E834" t="s">
        <v>684</v>
      </c>
      <c r="F834" t="s">
        <v>685</v>
      </c>
      <c r="G834" t="s">
        <v>686</v>
      </c>
      <c r="H834" t="s">
        <v>687</v>
      </c>
      <c r="I834" t="s">
        <v>25</v>
      </c>
      <c r="J834">
        <v>4038</v>
      </c>
      <c r="K834" t="s">
        <v>688</v>
      </c>
      <c r="L834">
        <v>9</v>
      </c>
      <c r="M834">
        <v>8.2899999999999991</v>
      </c>
      <c r="N834">
        <v>6</v>
      </c>
      <c r="O834">
        <v>0.41599999999999998</v>
      </c>
      <c r="P834" t="s">
        <v>27</v>
      </c>
      <c r="Q834">
        <v>2</v>
      </c>
      <c r="R834" t="s">
        <v>1272</v>
      </c>
      <c r="S834" t="str">
        <f t="shared" si="0"/>
        <v>ok</v>
      </c>
    </row>
    <row r="835" spans="1:19" hidden="1" x14ac:dyDescent="0.3">
      <c r="A835" t="s">
        <v>971</v>
      </c>
      <c r="B835" t="s">
        <v>972</v>
      </c>
      <c r="C835" t="s">
        <v>944</v>
      </c>
      <c r="D835">
        <v>10142</v>
      </c>
      <c r="E835" t="s">
        <v>225</v>
      </c>
      <c r="F835" t="s">
        <v>155</v>
      </c>
      <c r="G835" t="s">
        <v>226</v>
      </c>
      <c r="H835" t="s">
        <v>227</v>
      </c>
      <c r="I835" t="s">
        <v>25</v>
      </c>
      <c r="J835">
        <v>2447</v>
      </c>
      <c r="K835" t="s">
        <v>228</v>
      </c>
      <c r="L835">
        <v>8</v>
      </c>
      <c r="M835">
        <v>8.4748999999999999</v>
      </c>
      <c r="N835">
        <v>7</v>
      </c>
      <c r="O835">
        <v>0.4148</v>
      </c>
      <c r="P835" t="s">
        <v>27</v>
      </c>
      <c r="Q835">
        <v>2</v>
      </c>
      <c r="R835" t="s">
        <v>1272</v>
      </c>
      <c r="S835" t="str">
        <f t="shared" si="0"/>
        <v>ok</v>
      </c>
    </row>
    <row r="836" spans="1:19" hidden="1" x14ac:dyDescent="0.3">
      <c r="A836" t="s">
        <v>971</v>
      </c>
      <c r="B836" t="s">
        <v>972</v>
      </c>
      <c r="C836" t="s">
        <v>944</v>
      </c>
      <c r="D836">
        <v>19992</v>
      </c>
      <c r="E836" t="s">
        <v>408</v>
      </c>
      <c r="F836" t="s">
        <v>22</v>
      </c>
      <c r="G836" t="s">
        <v>409</v>
      </c>
      <c r="H836" t="s">
        <v>410</v>
      </c>
      <c r="I836" t="s">
        <v>31</v>
      </c>
      <c r="J836">
        <v>553</v>
      </c>
      <c r="K836" t="s">
        <v>411</v>
      </c>
      <c r="N836">
        <v>8</v>
      </c>
      <c r="O836">
        <v>0.40679999999999999</v>
      </c>
      <c r="P836" t="s">
        <v>38</v>
      </c>
      <c r="Q836">
        <v>0</v>
      </c>
      <c r="R836" t="s">
        <v>1272</v>
      </c>
      <c r="S836" t="str">
        <f t="shared" si="0"/>
        <v>ko hợp</v>
      </c>
    </row>
    <row r="837" spans="1:19" hidden="1" x14ac:dyDescent="0.3">
      <c r="A837" t="s">
        <v>971</v>
      </c>
      <c r="B837" t="s">
        <v>972</v>
      </c>
      <c r="C837" t="s">
        <v>944</v>
      </c>
      <c r="D837">
        <v>17349</v>
      </c>
      <c r="E837" t="s">
        <v>234</v>
      </c>
      <c r="F837" t="s">
        <v>155</v>
      </c>
      <c r="G837" t="s">
        <v>235</v>
      </c>
      <c r="H837" t="s">
        <v>236</v>
      </c>
      <c r="I837" t="s">
        <v>25</v>
      </c>
      <c r="J837">
        <v>281</v>
      </c>
      <c r="K837" t="s">
        <v>237</v>
      </c>
      <c r="N837">
        <v>9</v>
      </c>
      <c r="O837">
        <v>0.40510000000000002</v>
      </c>
      <c r="P837" t="s">
        <v>38</v>
      </c>
      <c r="Q837">
        <v>1</v>
      </c>
      <c r="R837" t="s">
        <v>1272</v>
      </c>
      <c r="S837" t="str">
        <f t="shared" si="0"/>
        <v>Phù hợp 1 phần</v>
      </c>
    </row>
    <row r="838" spans="1:19" hidden="1" x14ac:dyDescent="0.3">
      <c r="A838" t="s">
        <v>971</v>
      </c>
      <c r="B838" t="s">
        <v>972</v>
      </c>
      <c r="C838" t="s">
        <v>944</v>
      </c>
      <c r="D838">
        <v>16756</v>
      </c>
      <c r="E838" t="s">
        <v>764</v>
      </c>
      <c r="F838" t="s">
        <v>155</v>
      </c>
      <c r="G838" t="s">
        <v>235</v>
      </c>
      <c r="H838" t="s">
        <v>765</v>
      </c>
      <c r="I838" t="s">
        <v>25</v>
      </c>
      <c r="J838">
        <v>344</v>
      </c>
      <c r="K838" t="s">
        <v>766</v>
      </c>
      <c r="L838">
        <v>10</v>
      </c>
      <c r="M838">
        <v>8.1471999999999998</v>
      </c>
      <c r="P838" t="s">
        <v>33</v>
      </c>
      <c r="Q838">
        <v>1</v>
      </c>
      <c r="R838" t="s">
        <v>1272</v>
      </c>
      <c r="S838" t="str">
        <f t="shared" si="0"/>
        <v>Phù hợp 1 phần</v>
      </c>
    </row>
    <row r="839" spans="1:19" hidden="1" x14ac:dyDescent="0.3">
      <c r="A839" t="s">
        <v>971</v>
      </c>
      <c r="B839" t="s">
        <v>972</v>
      </c>
      <c r="C839" t="s">
        <v>944</v>
      </c>
      <c r="D839">
        <v>20777</v>
      </c>
      <c r="E839" t="s">
        <v>174</v>
      </c>
      <c r="F839" t="s">
        <v>155</v>
      </c>
      <c r="G839" t="s">
        <v>175</v>
      </c>
      <c r="H839" t="s">
        <v>176</v>
      </c>
      <c r="I839" t="s">
        <v>31</v>
      </c>
      <c r="J839">
        <v>384</v>
      </c>
      <c r="K839" t="s">
        <v>177</v>
      </c>
      <c r="N839">
        <v>10</v>
      </c>
      <c r="O839">
        <v>0.4047</v>
      </c>
      <c r="P839" t="s">
        <v>38</v>
      </c>
      <c r="Q839">
        <v>0</v>
      </c>
      <c r="R839" t="s">
        <v>1272</v>
      </c>
      <c r="S839" t="str">
        <f t="shared" si="0"/>
        <v>ko hợp</v>
      </c>
    </row>
    <row r="840" spans="1:19" hidden="1" x14ac:dyDescent="0.3">
      <c r="A840" t="s">
        <v>973</v>
      </c>
      <c r="B840" t="s">
        <v>974</v>
      </c>
      <c r="C840" t="s">
        <v>944</v>
      </c>
      <c r="D840">
        <v>9820</v>
      </c>
      <c r="E840" t="s">
        <v>150</v>
      </c>
      <c r="F840" t="s">
        <v>60</v>
      </c>
      <c r="G840" t="s">
        <v>151</v>
      </c>
      <c r="H840" t="s">
        <v>152</v>
      </c>
      <c r="I840" t="s">
        <v>25</v>
      </c>
      <c r="J840">
        <v>2512</v>
      </c>
      <c r="K840" t="s">
        <v>153</v>
      </c>
      <c r="L840">
        <v>3</v>
      </c>
      <c r="M840">
        <v>9.7786000000000008</v>
      </c>
      <c r="N840">
        <v>1</v>
      </c>
      <c r="O840">
        <v>0.51670000000000005</v>
      </c>
      <c r="P840" t="s">
        <v>27</v>
      </c>
      <c r="Q840">
        <v>2</v>
      </c>
      <c r="R840" t="s">
        <v>1272</v>
      </c>
      <c r="S840" t="str">
        <f t="shared" si="0"/>
        <v>ok</v>
      </c>
    </row>
    <row r="841" spans="1:19" hidden="1" x14ac:dyDescent="0.3">
      <c r="A841" t="s">
        <v>973</v>
      </c>
      <c r="B841" t="s">
        <v>974</v>
      </c>
      <c r="C841" t="s">
        <v>944</v>
      </c>
      <c r="D841">
        <v>15905</v>
      </c>
      <c r="E841" t="s">
        <v>262</v>
      </c>
      <c r="F841" t="s">
        <v>60</v>
      </c>
      <c r="G841" t="s">
        <v>263</v>
      </c>
      <c r="H841" t="s">
        <v>264</v>
      </c>
      <c r="I841" t="s">
        <v>31</v>
      </c>
      <c r="J841">
        <v>772</v>
      </c>
      <c r="K841" t="s">
        <v>265</v>
      </c>
      <c r="L841">
        <v>1</v>
      </c>
      <c r="M841">
        <v>10.228</v>
      </c>
      <c r="P841" t="s">
        <v>33</v>
      </c>
      <c r="Q841">
        <v>1</v>
      </c>
      <c r="R841" t="s">
        <v>1272</v>
      </c>
      <c r="S841" t="str">
        <f t="shared" si="0"/>
        <v>Phù hợp 1 phần</v>
      </c>
    </row>
    <row r="842" spans="1:19" hidden="1" x14ac:dyDescent="0.3">
      <c r="A842" t="s">
        <v>973</v>
      </c>
      <c r="B842" t="s">
        <v>974</v>
      </c>
      <c r="C842" t="s">
        <v>944</v>
      </c>
      <c r="D842">
        <v>13561</v>
      </c>
      <c r="E842" t="s">
        <v>832</v>
      </c>
      <c r="F842" t="s">
        <v>60</v>
      </c>
      <c r="G842" t="s">
        <v>833</v>
      </c>
      <c r="H842" t="s">
        <v>834</v>
      </c>
      <c r="I842" t="s">
        <v>31</v>
      </c>
      <c r="J842">
        <v>498</v>
      </c>
      <c r="K842" t="s">
        <v>835</v>
      </c>
      <c r="L842">
        <v>2</v>
      </c>
      <c r="M842">
        <v>10.045199999999999</v>
      </c>
      <c r="N842">
        <v>4</v>
      </c>
      <c r="O842">
        <v>0.48110000000000003</v>
      </c>
      <c r="P842" t="s">
        <v>27</v>
      </c>
      <c r="Q842">
        <v>2</v>
      </c>
      <c r="R842" t="s">
        <v>1272</v>
      </c>
      <c r="S842" t="str">
        <f t="shared" si="0"/>
        <v>ok</v>
      </c>
    </row>
    <row r="843" spans="1:19" hidden="1" x14ac:dyDescent="0.3">
      <c r="A843" t="s">
        <v>973</v>
      </c>
      <c r="B843" t="s">
        <v>974</v>
      </c>
      <c r="C843" t="s">
        <v>944</v>
      </c>
      <c r="D843">
        <v>17533</v>
      </c>
      <c r="E843" t="s">
        <v>746</v>
      </c>
      <c r="F843" t="s">
        <v>60</v>
      </c>
      <c r="G843" t="s">
        <v>719</v>
      </c>
      <c r="H843" t="s">
        <v>747</v>
      </c>
      <c r="I843" t="s">
        <v>25</v>
      </c>
      <c r="J843">
        <v>907</v>
      </c>
      <c r="K843" t="s">
        <v>748</v>
      </c>
      <c r="L843">
        <v>8</v>
      </c>
      <c r="M843">
        <v>7.6325000000000003</v>
      </c>
      <c r="N843">
        <v>2</v>
      </c>
      <c r="O843">
        <v>0.49130000000000001</v>
      </c>
      <c r="P843" t="s">
        <v>27</v>
      </c>
      <c r="Q843">
        <v>2</v>
      </c>
      <c r="R843" t="s">
        <v>1272</v>
      </c>
      <c r="S843" t="str">
        <f t="shared" si="0"/>
        <v>ok</v>
      </c>
    </row>
    <row r="844" spans="1:19" hidden="1" x14ac:dyDescent="0.3">
      <c r="A844" t="s">
        <v>973</v>
      </c>
      <c r="B844" t="s">
        <v>974</v>
      </c>
      <c r="C844" t="s">
        <v>944</v>
      </c>
      <c r="D844">
        <v>14684</v>
      </c>
      <c r="E844" t="s">
        <v>847</v>
      </c>
      <c r="F844" t="s">
        <v>60</v>
      </c>
      <c r="G844" t="s">
        <v>61</v>
      </c>
      <c r="H844" t="s">
        <v>848</v>
      </c>
      <c r="I844" t="s">
        <v>25</v>
      </c>
      <c r="J844">
        <v>1309</v>
      </c>
      <c r="K844" t="s">
        <v>849</v>
      </c>
      <c r="L844">
        <v>7</v>
      </c>
      <c r="M844">
        <v>7.7268999999999997</v>
      </c>
      <c r="N844">
        <v>3</v>
      </c>
      <c r="O844">
        <v>0.48949999999999999</v>
      </c>
      <c r="P844" t="s">
        <v>27</v>
      </c>
      <c r="Q844">
        <v>2</v>
      </c>
      <c r="R844" t="s">
        <v>1272</v>
      </c>
      <c r="S844" t="str">
        <f t="shared" si="0"/>
        <v>ok</v>
      </c>
    </row>
    <row r="845" spans="1:19" hidden="1" x14ac:dyDescent="0.3">
      <c r="A845" t="s">
        <v>973</v>
      </c>
      <c r="B845" t="s">
        <v>974</v>
      </c>
      <c r="C845" t="s">
        <v>944</v>
      </c>
      <c r="D845">
        <v>13237</v>
      </c>
      <c r="E845" t="s">
        <v>137</v>
      </c>
      <c r="F845" t="s">
        <v>60</v>
      </c>
      <c r="G845" t="s">
        <v>138</v>
      </c>
      <c r="H845" t="s">
        <v>139</v>
      </c>
      <c r="I845" t="s">
        <v>31</v>
      </c>
      <c r="J845">
        <v>1213</v>
      </c>
      <c r="K845" t="s">
        <v>140</v>
      </c>
      <c r="L845">
        <v>4</v>
      </c>
      <c r="M845">
        <v>8.2810000000000006</v>
      </c>
      <c r="P845" t="s">
        <v>33</v>
      </c>
      <c r="Q845">
        <v>1</v>
      </c>
      <c r="R845" t="s">
        <v>1272</v>
      </c>
      <c r="S845" t="str">
        <f t="shared" si="0"/>
        <v>Phù hợp 1 phần</v>
      </c>
    </row>
    <row r="846" spans="1:19" hidden="1" x14ac:dyDescent="0.3">
      <c r="A846" t="s">
        <v>973</v>
      </c>
      <c r="B846" t="s">
        <v>974</v>
      </c>
      <c r="C846" t="s">
        <v>944</v>
      </c>
      <c r="D846">
        <v>12428</v>
      </c>
      <c r="E846" t="s">
        <v>850</v>
      </c>
      <c r="F846" t="s">
        <v>74</v>
      </c>
      <c r="G846" t="s">
        <v>151</v>
      </c>
      <c r="H846" t="s">
        <v>851</v>
      </c>
      <c r="I846" t="s">
        <v>31</v>
      </c>
      <c r="J846">
        <v>891</v>
      </c>
      <c r="K846" t="s">
        <v>852</v>
      </c>
      <c r="L846">
        <v>5</v>
      </c>
      <c r="M846">
        <v>8.0213000000000001</v>
      </c>
      <c r="P846" t="s">
        <v>33</v>
      </c>
      <c r="Q846">
        <v>1</v>
      </c>
      <c r="R846" t="s">
        <v>1272</v>
      </c>
      <c r="S846" t="str">
        <f t="shared" si="0"/>
        <v>Phù hợp 1 phần</v>
      </c>
    </row>
    <row r="847" spans="1:19" hidden="1" x14ac:dyDescent="0.3">
      <c r="A847" t="s">
        <v>973</v>
      </c>
      <c r="B847" t="s">
        <v>974</v>
      </c>
      <c r="C847" t="s">
        <v>944</v>
      </c>
      <c r="D847">
        <v>18885</v>
      </c>
      <c r="E847" t="s">
        <v>86</v>
      </c>
      <c r="F847" t="s">
        <v>60</v>
      </c>
      <c r="G847" t="s">
        <v>87</v>
      </c>
      <c r="H847" t="s">
        <v>88</v>
      </c>
      <c r="I847" t="s">
        <v>31</v>
      </c>
      <c r="J847">
        <v>596</v>
      </c>
      <c r="K847" t="s">
        <v>89</v>
      </c>
      <c r="N847">
        <v>5</v>
      </c>
      <c r="O847">
        <v>0.4617</v>
      </c>
      <c r="P847" t="s">
        <v>38</v>
      </c>
      <c r="Q847">
        <v>2</v>
      </c>
      <c r="R847" t="s">
        <v>1272</v>
      </c>
      <c r="S847" t="str">
        <f t="shared" si="0"/>
        <v>ok</v>
      </c>
    </row>
    <row r="848" spans="1:19" hidden="1" x14ac:dyDescent="0.3">
      <c r="A848" t="s">
        <v>973</v>
      </c>
      <c r="B848" t="s">
        <v>974</v>
      </c>
      <c r="C848" t="s">
        <v>944</v>
      </c>
      <c r="D848">
        <v>15013</v>
      </c>
      <c r="E848" t="s">
        <v>59</v>
      </c>
      <c r="F848" t="s">
        <v>60</v>
      </c>
      <c r="G848" t="s">
        <v>61</v>
      </c>
      <c r="H848" t="s">
        <v>62</v>
      </c>
      <c r="I848" t="s">
        <v>25</v>
      </c>
      <c r="J848">
        <v>550</v>
      </c>
      <c r="K848" t="s">
        <v>63</v>
      </c>
      <c r="N848">
        <v>6</v>
      </c>
      <c r="O848">
        <v>0.45860000000000001</v>
      </c>
      <c r="P848" t="s">
        <v>38</v>
      </c>
      <c r="Q848">
        <v>2</v>
      </c>
      <c r="R848" t="s">
        <v>1272</v>
      </c>
      <c r="S848" t="str">
        <f t="shared" si="0"/>
        <v>ok</v>
      </c>
    </row>
    <row r="849" spans="1:19" hidden="1" x14ac:dyDescent="0.3">
      <c r="A849" t="s">
        <v>973</v>
      </c>
      <c r="B849" t="s">
        <v>974</v>
      </c>
      <c r="C849" t="s">
        <v>944</v>
      </c>
      <c r="D849">
        <v>20772</v>
      </c>
      <c r="E849" t="s">
        <v>292</v>
      </c>
      <c r="F849" t="s">
        <v>293</v>
      </c>
      <c r="G849" t="s">
        <v>41</v>
      </c>
      <c r="H849" t="s">
        <v>294</v>
      </c>
      <c r="I849" t="s">
        <v>25</v>
      </c>
      <c r="J849">
        <v>787</v>
      </c>
      <c r="K849" t="s">
        <v>295</v>
      </c>
      <c r="L849">
        <v>6</v>
      </c>
      <c r="M849">
        <v>7.8085000000000004</v>
      </c>
      <c r="P849" t="s">
        <v>33</v>
      </c>
      <c r="Q849">
        <v>2</v>
      </c>
      <c r="R849" t="s">
        <v>1272</v>
      </c>
      <c r="S849" t="str">
        <f t="shared" si="0"/>
        <v>ok</v>
      </c>
    </row>
    <row r="850" spans="1:19" hidden="1" x14ac:dyDescent="0.3">
      <c r="A850" t="s">
        <v>973</v>
      </c>
      <c r="B850" t="s">
        <v>974</v>
      </c>
      <c r="C850" t="s">
        <v>944</v>
      </c>
      <c r="D850">
        <v>20472</v>
      </c>
      <c r="E850" t="s">
        <v>487</v>
      </c>
      <c r="F850" t="s">
        <v>60</v>
      </c>
      <c r="G850" t="s">
        <v>488</v>
      </c>
      <c r="H850" t="s">
        <v>489</v>
      </c>
      <c r="I850" t="s">
        <v>25</v>
      </c>
      <c r="J850">
        <v>579</v>
      </c>
      <c r="K850" t="s">
        <v>490</v>
      </c>
      <c r="N850">
        <v>7</v>
      </c>
      <c r="O850">
        <v>0.45390000000000003</v>
      </c>
      <c r="P850" t="s">
        <v>38</v>
      </c>
      <c r="Q850">
        <v>2</v>
      </c>
      <c r="R850" t="s">
        <v>1272</v>
      </c>
      <c r="S850" t="str">
        <f t="shared" si="0"/>
        <v>ok</v>
      </c>
    </row>
    <row r="851" spans="1:19" hidden="1" x14ac:dyDescent="0.3">
      <c r="A851" t="s">
        <v>973</v>
      </c>
      <c r="B851" t="s">
        <v>974</v>
      </c>
      <c r="C851" t="s">
        <v>944</v>
      </c>
      <c r="D851">
        <v>17058</v>
      </c>
      <c r="E851" t="s">
        <v>925</v>
      </c>
      <c r="F851" t="s">
        <v>60</v>
      </c>
      <c r="G851" t="s">
        <v>926</v>
      </c>
      <c r="H851" t="s">
        <v>927</v>
      </c>
      <c r="I851" t="s">
        <v>31</v>
      </c>
      <c r="J851">
        <v>5613</v>
      </c>
      <c r="K851" t="s">
        <v>928</v>
      </c>
      <c r="N851">
        <v>8</v>
      </c>
      <c r="O851">
        <v>0.45200000000000001</v>
      </c>
      <c r="P851" t="s">
        <v>38</v>
      </c>
      <c r="Q851">
        <v>2</v>
      </c>
      <c r="R851" t="s">
        <v>1272</v>
      </c>
      <c r="S851" t="str">
        <f t="shared" si="0"/>
        <v>ok</v>
      </c>
    </row>
    <row r="852" spans="1:19" hidden="1" x14ac:dyDescent="0.3">
      <c r="A852" t="s">
        <v>973</v>
      </c>
      <c r="B852" t="s">
        <v>974</v>
      </c>
      <c r="C852" t="s">
        <v>944</v>
      </c>
      <c r="D852">
        <v>16145</v>
      </c>
      <c r="E852" t="s">
        <v>182</v>
      </c>
      <c r="F852" t="s">
        <v>155</v>
      </c>
      <c r="G852" t="s">
        <v>183</v>
      </c>
      <c r="H852" t="s">
        <v>184</v>
      </c>
      <c r="I852" t="s">
        <v>31</v>
      </c>
      <c r="J852">
        <v>2447</v>
      </c>
      <c r="K852" t="s">
        <v>185</v>
      </c>
      <c r="L852">
        <v>9</v>
      </c>
      <c r="M852">
        <v>7.1776</v>
      </c>
      <c r="P852" t="s">
        <v>33</v>
      </c>
      <c r="Q852">
        <v>0</v>
      </c>
      <c r="R852" t="s">
        <v>1272</v>
      </c>
      <c r="S852" t="str">
        <f t="shared" si="0"/>
        <v>ko hợp</v>
      </c>
    </row>
    <row r="853" spans="1:19" hidden="1" x14ac:dyDescent="0.3">
      <c r="A853" t="s">
        <v>973</v>
      </c>
      <c r="B853" t="s">
        <v>974</v>
      </c>
      <c r="C853" t="s">
        <v>944</v>
      </c>
      <c r="D853">
        <v>19729</v>
      </c>
      <c r="E853" t="s">
        <v>975</v>
      </c>
      <c r="F853" t="s">
        <v>828</v>
      </c>
      <c r="G853" t="s">
        <v>829</v>
      </c>
      <c r="H853" t="s">
        <v>976</v>
      </c>
      <c r="I853" t="s">
        <v>25</v>
      </c>
      <c r="J853">
        <v>1407</v>
      </c>
      <c r="K853" t="s">
        <v>977</v>
      </c>
      <c r="N853">
        <v>9</v>
      </c>
      <c r="O853">
        <v>0.45079999999999998</v>
      </c>
      <c r="P853" t="s">
        <v>38</v>
      </c>
      <c r="Q853">
        <v>2</v>
      </c>
      <c r="R853" t="s">
        <v>1272</v>
      </c>
      <c r="S853" t="str">
        <f t="shared" si="0"/>
        <v>ok</v>
      </c>
    </row>
    <row r="854" spans="1:19" hidden="1" x14ac:dyDescent="0.3">
      <c r="A854" t="s">
        <v>973</v>
      </c>
      <c r="B854" t="s">
        <v>974</v>
      </c>
      <c r="C854" t="s">
        <v>944</v>
      </c>
      <c r="D854">
        <v>171</v>
      </c>
      <c r="E854" t="s">
        <v>102</v>
      </c>
      <c r="F854" t="s">
        <v>103</v>
      </c>
      <c r="G854" t="s">
        <v>104</v>
      </c>
      <c r="H854" t="s">
        <v>105</v>
      </c>
      <c r="I854" t="s">
        <v>31</v>
      </c>
      <c r="J854">
        <v>474</v>
      </c>
      <c r="K854" t="s">
        <v>106</v>
      </c>
      <c r="N854">
        <v>10</v>
      </c>
      <c r="O854">
        <v>0.44929999999999998</v>
      </c>
      <c r="P854" t="s">
        <v>38</v>
      </c>
      <c r="Q854">
        <v>1</v>
      </c>
      <c r="R854" t="s">
        <v>1272</v>
      </c>
      <c r="S854" t="str">
        <f t="shared" si="0"/>
        <v>Phù hợp 1 phần</v>
      </c>
    </row>
    <row r="855" spans="1:19" hidden="1" x14ac:dyDescent="0.3">
      <c r="A855" t="s">
        <v>973</v>
      </c>
      <c r="B855" t="s">
        <v>974</v>
      </c>
      <c r="C855" t="s">
        <v>944</v>
      </c>
      <c r="D855">
        <v>6637</v>
      </c>
      <c r="E855" t="s">
        <v>735</v>
      </c>
      <c r="F855" t="s">
        <v>60</v>
      </c>
      <c r="G855" t="s">
        <v>736</v>
      </c>
      <c r="H855" t="s">
        <v>737</v>
      </c>
      <c r="I855" t="s">
        <v>25</v>
      </c>
      <c r="J855">
        <v>1382</v>
      </c>
      <c r="K855" t="s">
        <v>738</v>
      </c>
      <c r="L855">
        <v>10</v>
      </c>
      <c r="M855">
        <v>7.0606999999999998</v>
      </c>
      <c r="P855" t="s">
        <v>33</v>
      </c>
      <c r="Q855">
        <v>2</v>
      </c>
      <c r="R855" t="s">
        <v>1272</v>
      </c>
      <c r="S855" t="str">
        <f t="shared" si="0"/>
        <v>ok</v>
      </c>
    </row>
    <row r="856" spans="1:19" hidden="1" x14ac:dyDescent="0.3">
      <c r="A856" t="s">
        <v>978</v>
      </c>
      <c r="B856" t="s">
        <v>979</v>
      </c>
      <c r="C856" t="s">
        <v>944</v>
      </c>
      <c r="D856">
        <v>447</v>
      </c>
      <c r="E856" t="s">
        <v>813</v>
      </c>
      <c r="F856" t="s">
        <v>22</v>
      </c>
      <c r="G856" t="s">
        <v>814</v>
      </c>
      <c r="H856" t="s">
        <v>815</v>
      </c>
      <c r="I856" t="s">
        <v>25</v>
      </c>
      <c r="J856">
        <v>806</v>
      </c>
      <c r="K856" t="s">
        <v>816</v>
      </c>
      <c r="L856">
        <v>1</v>
      </c>
      <c r="M856">
        <v>15.1972</v>
      </c>
      <c r="P856" t="s">
        <v>33</v>
      </c>
      <c r="Q856">
        <v>2</v>
      </c>
      <c r="R856" t="s">
        <v>1272</v>
      </c>
      <c r="S856" t="str">
        <f t="shared" si="0"/>
        <v>ok</v>
      </c>
    </row>
    <row r="857" spans="1:19" hidden="1" x14ac:dyDescent="0.3">
      <c r="A857" t="s">
        <v>978</v>
      </c>
      <c r="B857" t="s">
        <v>979</v>
      </c>
      <c r="C857" t="s">
        <v>944</v>
      </c>
      <c r="D857">
        <v>15093</v>
      </c>
      <c r="E857" t="s">
        <v>452</v>
      </c>
      <c r="F857" t="s">
        <v>60</v>
      </c>
      <c r="G857" t="s">
        <v>453</v>
      </c>
      <c r="H857" t="s">
        <v>454</v>
      </c>
      <c r="I857" t="s">
        <v>31</v>
      </c>
      <c r="J857">
        <v>892</v>
      </c>
      <c r="K857" t="s">
        <v>455</v>
      </c>
      <c r="N857">
        <v>1</v>
      </c>
      <c r="O857">
        <v>0.45200000000000001</v>
      </c>
      <c r="P857" t="s">
        <v>38</v>
      </c>
      <c r="Q857">
        <v>1</v>
      </c>
      <c r="R857" t="s">
        <v>1272</v>
      </c>
      <c r="S857" t="str">
        <f t="shared" si="0"/>
        <v>Phù hợp 1 phần</v>
      </c>
    </row>
    <row r="858" spans="1:19" hidden="1" x14ac:dyDescent="0.3">
      <c r="A858" t="s">
        <v>978</v>
      </c>
      <c r="B858" t="s">
        <v>979</v>
      </c>
      <c r="C858" t="s">
        <v>944</v>
      </c>
      <c r="D858">
        <v>13514</v>
      </c>
      <c r="E858" t="s">
        <v>64</v>
      </c>
      <c r="F858" t="s">
        <v>60</v>
      </c>
      <c r="G858" t="s">
        <v>65</v>
      </c>
      <c r="H858" t="s">
        <v>66</v>
      </c>
      <c r="I858" t="s">
        <v>31</v>
      </c>
      <c r="J858">
        <v>587</v>
      </c>
      <c r="K858" t="s">
        <v>67</v>
      </c>
      <c r="N858">
        <v>2</v>
      </c>
      <c r="O858">
        <v>0.45150000000000001</v>
      </c>
      <c r="P858" t="s">
        <v>38</v>
      </c>
      <c r="Q858">
        <v>1</v>
      </c>
      <c r="R858" t="s">
        <v>1272</v>
      </c>
      <c r="S858" t="str">
        <f t="shared" si="0"/>
        <v>Phù hợp 1 phần</v>
      </c>
    </row>
    <row r="859" spans="1:19" hidden="1" x14ac:dyDescent="0.3">
      <c r="A859" t="s">
        <v>978</v>
      </c>
      <c r="B859" t="s">
        <v>979</v>
      </c>
      <c r="C859" t="s">
        <v>944</v>
      </c>
      <c r="D859">
        <v>19395</v>
      </c>
      <c r="E859" t="s">
        <v>609</v>
      </c>
      <c r="F859" t="s">
        <v>22</v>
      </c>
      <c r="G859" t="s">
        <v>610</v>
      </c>
      <c r="H859" t="s">
        <v>611</v>
      </c>
      <c r="I859" t="s">
        <v>31</v>
      </c>
      <c r="J859">
        <v>560</v>
      </c>
      <c r="K859" t="s">
        <v>612</v>
      </c>
      <c r="L859">
        <v>2</v>
      </c>
      <c r="M859">
        <v>14.253299999999999</v>
      </c>
      <c r="N859">
        <v>10</v>
      </c>
      <c r="O859">
        <v>0.42199999999999999</v>
      </c>
      <c r="P859" t="s">
        <v>27</v>
      </c>
      <c r="Q859">
        <v>2</v>
      </c>
      <c r="R859" t="s">
        <v>1272</v>
      </c>
      <c r="S859" t="str">
        <f t="shared" si="0"/>
        <v>ok</v>
      </c>
    </row>
    <row r="860" spans="1:19" hidden="1" x14ac:dyDescent="0.3">
      <c r="A860" t="s">
        <v>978</v>
      </c>
      <c r="B860" t="s">
        <v>979</v>
      </c>
      <c r="C860" t="s">
        <v>944</v>
      </c>
      <c r="D860">
        <v>17419</v>
      </c>
      <c r="E860" t="s">
        <v>821</v>
      </c>
      <c r="F860" t="s">
        <v>22</v>
      </c>
      <c r="G860" t="s">
        <v>822</v>
      </c>
      <c r="H860" t="s">
        <v>823</v>
      </c>
      <c r="I860" t="s">
        <v>31</v>
      </c>
      <c r="J860">
        <v>1103</v>
      </c>
      <c r="K860" t="s">
        <v>824</v>
      </c>
      <c r="L860">
        <v>3</v>
      </c>
      <c r="M860">
        <v>14.0543</v>
      </c>
      <c r="N860">
        <v>3</v>
      </c>
      <c r="O860">
        <v>0.44750000000000001</v>
      </c>
      <c r="P860" t="s">
        <v>27</v>
      </c>
      <c r="Q860">
        <v>2</v>
      </c>
      <c r="R860" t="s">
        <v>1272</v>
      </c>
      <c r="S860" t="str">
        <f t="shared" si="0"/>
        <v>ok</v>
      </c>
    </row>
    <row r="861" spans="1:19" hidden="1" x14ac:dyDescent="0.3">
      <c r="A861" t="s">
        <v>978</v>
      </c>
      <c r="B861" t="s">
        <v>979</v>
      </c>
      <c r="C861" t="s">
        <v>944</v>
      </c>
      <c r="D861">
        <v>13674</v>
      </c>
      <c r="E861" t="s">
        <v>78</v>
      </c>
      <c r="F861" t="s">
        <v>22</v>
      </c>
      <c r="G861" t="s">
        <v>79</v>
      </c>
      <c r="H861" t="s">
        <v>80</v>
      </c>
      <c r="I861" t="s">
        <v>31</v>
      </c>
      <c r="J861">
        <v>1127</v>
      </c>
      <c r="K861" t="s">
        <v>81</v>
      </c>
      <c r="L861">
        <v>4</v>
      </c>
      <c r="M861">
        <v>14.053699999999999</v>
      </c>
      <c r="N861">
        <v>4</v>
      </c>
      <c r="O861">
        <v>0.4446</v>
      </c>
      <c r="P861" t="s">
        <v>27</v>
      </c>
      <c r="Q861">
        <v>2</v>
      </c>
      <c r="R861" t="s">
        <v>1272</v>
      </c>
      <c r="S861" t="str">
        <f t="shared" si="0"/>
        <v>ok</v>
      </c>
    </row>
    <row r="862" spans="1:19" hidden="1" x14ac:dyDescent="0.3">
      <c r="A862" t="s">
        <v>978</v>
      </c>
      <c r="B862" t="s">
        <v>979</v>
      </c>
      <c r="C862" t="s">
        <v>944</v>
      </c>
      <c r="D862">
        <v>17365</v>
      </c>
      <c r="E862" t="s">
        <v>578</v>
      </c>
      <c r="F862" t="s">
        <v>60</v>
      </c>
      <c r="G862" t="s">
        <v>579</v>
      </c>
      <c r="H862" t="s">
        <v>580</v>
      </c>
      <c r="I862" t="s">
        <v>31</v>
      </c>
      <c r="J862">
        <v>1906</v>
      </c>
      <c r="K862" t="s">
        <v>581</v>
      </c>
      <c r="N862">
        <v>5</v>
      </c>
      <c r="O862">
        <v>0.43840000000000001</v>
      </c>
      <c r="P862" t="s">
        <v>38</v>
      </c>
      <c r="Q862">
        <v>0</v>
      </c>
      <c r="R862" t="s">
        <v>1272</v>
      </c>
      <c r="S862" t="str">
        <f t="shared" si="0"/>
        <v>ko hợp</v>
      </c>
    </row>
    <row r="863" spans="1:19" hidden="1" x14ac:dyDescent="0.3">
      <c r="A863" t="s">
        <v>978</v>
      </c>
      <c r="B863" t="s">
        <v>979</v>
      </c>
      <c r="C863" t="s">
        <v>944</v>
      </c>
      <c r="D863">
        <v>20776</v>
      </c>
      <c r="E863" t="s">
        <v>739</v>
      </c>
      <c r="F863" t="s">
        <v>740</v>
      </c>
      <c r="G863" t="s">
        <v>741</v>
      </c>
      <c r="H863" t="s">
        <v>742</v>
      </c>
      <c r="I863" t="s">
        <v>31</v>
      </c>
      <c r="J863">
        <v>386</v>
      </c>
      <c r="K863" t="s">
        <v>743</v>
      </c>
      <c r="L863">
        <v>5</v>
      </c>
      <c r="M863">
        <v>13.596399999999999</v>
      </c>
      <c r="P863" t="s">
        <v>33</v>
      </c>
      <c r="Q863">
        <v>1</v>
      </c>
      <c r="R863" t="s">
        <v>1272</v>
      </c>
      <c r="S863" t="str">
        <f t="shared" si="0"/>
        <v>Phù hợp 1 phần</v>
      </c>
    </row>
    <row r="864" spans="1:19" hidden="1" x14ac:dyDescent="0.3">
      <c r="A864" t="s">
        <v>978</v>
      </c>
      <c r="B864" t="s">
        <v>979</v>
      </c>
      <c r="C864" t="s">
        <v>944</v>
      </c>
      <c r="D864">
        <v>13183</v>
      </c>
      <c r="E864" t="s">
        <v>777</v>
      </c>
      <c r="F864" t="s">
        <v>60</v>
      </c>
      <c r="G864" t="s">
        <v>778</v>
      </c>
      <c r="H864" t="s">
        <v>779</v>
      </c>
      <c r="I864" t="s">
        <v>31</v>
      </c>
      <c r="J864">
        <v>1373</v>
      </c>
      <c r="K864" t="s">
        <v>780</v>
      </c>
      <c r="N864">
        <v>6</v>
      </c>
      <c r="O864">
        <v>0.43630000000000002</v>
      </c>
      <c r="P864" t="s">
        <v>38</v>
      </c>
      <c r="Q864">
        <v>1</v>
      </c>
      <c r="R864" t="s">
        <v>1272</v>
      </c>
      <c r="S864" t="str">
        <f t="shared" si="0"/>
        <v>Phù hợp 1 phần</v>
      </c>
    </row>
    <row r="865" spans="1:19" hidden="1" x14ac:dyDescent="0.3">
      <c r="A865" t="s">
        <v>978</v>
      </c>
      <c r="B865" t="s">
        <v>979</v>
      </c>
      <c r="C865" t="s">
        <v>944</v>
      </c>
      <c r="D865">
        <v>19982</v>
      </c>
      <c r="E865" t="s">
        <v>28</v>
      </c>
      <c r="F865" t="s">
        <v>22</v>
      </c>
      <c r="G865" t="s">
        <v>29</v>
      </c>
      <c r="H865" t="s">
        <v>30</v>
      </c>
      <c r="I865" t="s">
        <v>31</v>
      </c>
      <c r="J865">
        <v>543</v>
      </c>
      <c r="K865" t="s">
        <v>32</v>
      </c>
      <c r="L865">
        <v>6</v>
      </c>
      <c r="M865">
        <v>13.4878</v>
      </c>
      <c r="P865" t="s">
        <v>33</v>
      </c>
      <c r="Q865">
        <v>1</v>
      </c>
      <c r="R865" t="s">
        <v>1272</v>
      </c>
      <c r="S865" t="str">
        <f t="shared" si="0"/>
        <v>Phù hợp 1 phần</v>
      </c>
    </row>
    <row r="866" spans="1:19" hidden="1" x14ac:dyDescent="0.3">
      <c r="A866" t="s">
        <v>978</v>
      </c>
      <c r="B866" t="s">
        <v>979</v>
      </c>
      <c r="C866" t="s">
        <v>944</v>
      </c>
      <c r="D866">
        <v>16537</v>
      </c>
      <c r="E866" t="s">
        <v>899</v>
      </c>
      <c r="F866" t="s">
        <v>22</v>
      </c>
      <c r="G866" t="s">
        <v>822</v>
      </c>
      <c r="H866" t="s">
        <v>900</v>
      </c>
      <c r="I866" t="s">
        <v>31</v>
      </c>
      <c r="J866">
        <v>712</v>
      </c>
      <c r="K866" t="s">
        <v>901</v>
      </c>
      <c r="L866">
        <v>7</v>
      </c>
      <c r="M866">
        <v>12.5623</v>
      </c>
      <c r="P866" t="s">
        <v>33</v>
      </c>
      <c r="Q866">
        <v>2</v>
      </c>
      <c r="R866" t="s">
        <v>1272</v>
      </c>
      <c r="S866" t="str">
        <f t="shared" si="0"/>
        <v>ok</v>
      </c>
    </row>
    <row r="867" spans="1:19" hidden="1" x14ac:dyDescent="0.3">
      <c r="A867" t="s">
        <v>978</v>
      </c>
      <c r="B867" t="s">
        <v>979</v>
      </c>
      <c r="C867" t="s">
        <v>944</v>
      </c>
      <c r="D867">
        <v>20353</v>
      </c>
      <c r="E867" t="s">
        <v>164</v>
      </c>
      <c r="F867" t="s">
        <v>165</v>
      </c>
      <c r="G867" t="s">
        <v>41</v>
      </c>
      <c r="H867" t="s">
        <v>166</v>
      </c>
      <c r="I867" t="s">
        <v>31</v>
      </c>
      <c r="J867">
        <v>899</v>
      </c>
      <c r="K867" t="s">
        <v>167</v>
      </c>
      <c r="N867">
        <v>7</v>
      </c>
      <c r="O867">
        <v>0.43509999999999999</v>
      </c>
      <c r="P867" t="s">
        <v>38</v>
      </c>
      <c r="Q867">
        <v>1</v>
      </c>
      <c r="R867" t="s">
        <v>1272</v>
      </c>
      <c r="S867" t="str">
        <f t="shared" si="0"/>
        <v>Phù hợp 1 phần</v>
      </c>
    </row>
    <row r="868" spans="1:19" hidden="1" x14ac:dyDescent="0.3">
      <c r="A868" t="s">
        <v>978</v>
      </c>
      <c r="B868" t="s">
        <v>979</v>
      </c>
      <c r="C868" t="s">
        <v>944</v>
      </c>
      <c r="D868">
        <v>14222</v>
      </c>
      <c r="E868" t="s">
        <v>749</v>
      </c>
      <c r="F868" t="s">
        <v>60</v>
      </c>
      <c r="G868" t="s">
        <v>696</v>
      </c>
      <c r="H868" t="s">
        <v>750</v>
      </c>
      <c r="I868" t="s">
        <v>25</v>
      </c>
      <c r="J868">
        <v>835</v>
      </c>
      <c r="K868" t="s">
        <v>751</v>
      </c>
      <c r="N868">
        <v>8</v>
      </c>
      <c r="O868">
        <v>0.43469999999999998</v>
      </c>
      <c r="P868" t="s">
        <v>38</v>
      </c>
      <c r="Q868">
        <v>1</v>
      </c>
      <c r="R868" t="s">
        <v>1272</v>
      </c>
      <c r="S868" t="str">
        <f t="shared" si="0"/>
        <v>Phù hợp 1 phần</v>
      </c>
    </row>
    <row r="869" spans="1:19" hidden="1" x14ac:dyDescent="0.3">
      <c r="A869" t="s">
        <v>978</v>
      </c>
      <c r="B869" t="s">
        <v>979</v>
      </c>
      <c r="C869" t="s">
        <v>944</v>
      </c>
      <c r="D869">
        <v>20016</v>
      </c>
      <c r="E869" t="s">
        <v>980</v>
      </c>
      <c r="F869" t="s">
        <v>22</v>
      </c>
      <c r="G869" t="s">
        <v>610</v>
      </c>
      <c r="H869" t="s">
        <v>981</v>
      </c>
      <c r="I869" t="s">
        <v>31</v>
      </c>
      <c r="J869">
        <v>537</v>
      </c>
      <c r="K869" t="s">
        <v>982</v>
      </c>
      <c r="L869">
        <v>8</v>
      </c>
      <c r="M869">
        <v>11.012</v>
      </c>
      <c r="P869" t="s">
        <v>33</v>
      </c>
      <c r="Q869">
        <v>2</v>
      </c>
      <c r="R869" t="s">
        <v>1272</v>
      </c>
      <c r="S869" t="str">
        <f t="shared" si="0"/>
        <v>ok</v>
      </c>
    </row>
    <row r="870" spans="1:19" hidden="1" x14ac:dyDescent="0.3">
      <c r="A870" t="s">
        <v>978</v>
      </c>
      <c r="B870" t="s">
        <v>979</v>
      </c>
      <c r="C870" t="s">
        <v>944</v>
      </c>
      <c r="D870">
        <v>18885</v>
      </c>
      <c r="E870" t="s">
        <v>86</v>
      </c>
      <c r="F870" t="s">
        <v>60</v>
      </c>
      <c r="G870" t="s">
        <v>87</v>
      </c>
      <c r="H870" t="s">
        <v>88</v>
      </c>
      <c r="I870" t="s">
        <v>31</v>
      </c>
      <c r="J870">
        <v>596</v>
      </c>
      <c r="K870" t="s">
        <v>89</v>
      </c>
      <c r="N870">
        <v>9</v>
      </c>
      <c r="O870">
        <v>0.4259</v>
      </c>
      <c r="P870" t="s">
        <v>38</v>
      </c>
      <c r="Q870">
        <v>0</v>
      </c>
      <c r="R870" t="s">
        <v>1272</v>
      </c>
      <c r="S870" t="str">
        <f t="shared" si="0"/>
        <v>ko hợp</v>
      </c>
    </row>
    <row r="871" spans="1:19" hidden="1" x14ac:dyDescent="0.3">
      <c r="A871" t="s">
        <v>978</v>
      </c>
      <c r="B871" t="s">
        <v>979</v>
      </c>
      <c r="C871" t="s">
        <v>944</v>
      </c>
      <c r="D871">
        <v>20027</v>
      </c>
      <c r="E871" t="s">
        <v>983</v>
      </c>
      <c r="F871" t="s">
        <v>22</v>
      </c>
      <c r="G871" t="s">
        <v>79</v>
      </c>
      <c r="H871" t="s">
        <v>984</v>
      </c>
      <c r="I871" t="s">
        <v>31</v>
      </c>
      <c r="J871">
        <v>532</v>
      </c>
      <c r="K871" t="s">
        <v>985</v>
      </c>
      <c r="L871">
        <v>9</v>
      </c>
      <c r="M871">
        <v>10.6683</v>
      </c>
      <c r="P871" t="s">
        <v>33</v>
      </c>
      <c r="Q871">
        <v>2</v>
      </c>
      <c r="R871" t="s">
        <v>1272</v>
      </c>
      <c r="S871" t="str">
        <f t="shared" si="0"/>
        <v>ok</v>
      </c>
    </row>
    <row r="872" spans="1:19" hidden="1" x14ac:dyDescent="0.3">
      <c r="A872" t="s">
        <v>978</v>
      </c>
      <c r="B872" t="s">
        <v>979</v>
      </c>
      <c r="C872" t="s">
        <v>944</v>
      </c>
      <c r="D872">
        <v>18457</v>
      </c>
      <c r="E872" t="s">
        <v>986</v>
      </c>
      <c r="F872" t="s">
        <v>987</v>
      </c>
      <c r="G872" t="s">
        <v>988</v>
      </c>
      <c r="H872" t="s">
        <v>989</v>
      </c>
      <c r="I872" t="s">
        <v>31</v>
      </c>
      <c r="J872">
        <v>3005</v>
      </c>
      <c r="K872" t="s">
        <v>990</v>
      </c>
      <c r="L872">
        <v>10</v>
      </c>
      <c r="M872">
        <v>10.6487</v>
      </c>
      <c r="P872" t="s">
        <v>33</v>
      </c>
      <c r="Q872">
        <v>1</v>
      </c>
      <c r="R872" t="s">
        <v>1272</v>
      </c>
      <c r="S872" t="str">
        <f t="shared" si="0"/>
        <v>Phù hợp 1 phần</v>
      </c>
    </row>
    <row r="873" spans="1:19" hidden="1" x14ac:dyDescent="0.3">
      <c r="A873" t="s">
        <v>991</v>
      </c>
      <c r="B873" t="s">
        <v>992</v>
      </c>
      <c r="C873" t="s">
        <v>944</v>
      </c>
      <c r="D873">
        <v>541</v>
      </c>
      <c r="E873" t="s">
        <v>170</v>
      </c>
      <c r="F873" t="s">
        <v>155</v>
      </c>
      <c r="G873" t="s">
        <v>171</v>
      </c>
      <c r="H873" t="s">
        <v>172</v>
      </c>
      <c r="I873" t="s">
        <v>25</v>
      </c>
      <c r="J873">
        <v>738</v>
      </c>
      <c r="K873" t="s">
        <v>173</v>
      </c>
      <c r="L873">
        <v>1</v>
      </c>
      <c r="M873">
        <v>10.445499999999999</v>
      </c>
      <c r="P873" t="s">
        <v>33</v>
      </c>
      <c r="Q873">
        <v>2</v>
      </c>
      <c r="R873" t="s">
        <v>1272</v>
      </c>
      <c r="S873" t="str">
        <f t="shared" si="0"/>
        <v>ok</v>
      </c>
    </row>
    <row r="874" spans="1:19" hidden="1" x14ac:dyDescent="0.3">
      <c r="A874" t="s">
        <v>991</v>
      </c>
      <c r="B874" t="s">
        <v>992</v>
      </c>
      <c r="C874" t="s">
        <v>944</v>
      </c>
      <c r="D874">
        <v>17487</v>
      </c>
      <c r="E874" t="s">
        <v>641</v>
      </c>
      <c r="F874" t="s">
        <v>155</v>
      </c>
      <c r="G874" t="s">
        <v>642</v>
      </c>
      <c r="H874" t="s">
        <v>643</v>
      </c>
      <c r="I874" t="s">
        <v>25</v>
      </c>
      <c r="J874">
        <v>827</v>
      </c>
      <c r="K874" t="s">
        <v>644</v>
      </c>
      <c r="N874">
        <v>1</v>
      </c>
      <c r="O874">
        <v>0.41670000000000001</v>
      </c>
      <c r="P874" t="s">
        <v>38</v>
      </c>
      <c r="Q874">
        <v>1</v>
      </c>
      <c r="R874" t="s">
        <v>1272</v>
      </c>
      <c r="S874" t="str">
        <f t="shared" si="0"/>
        <v>Phù hợp 1 phần</v>
      </c>
    </row>
    <row r="875" spans="1:19" hidden="1" x14ac:dyDescent="0.3">
      <c r="A875" t="s">
        <v>991</v>
      </c>
      <c r="B875" t="s">
        <v>992</v>
      </c>
      <c r="C875" t="s">
        <v>944</v>
      </c>
      <c r="D875">
        <v>19710</v>
      </c>
      <c r="E875" t="s">
        <v>199</v>
      </c>
      <c r="F875" t="s">
        <v>200</v>
      </c>
      <c r="G875" t="s">
        <v>201</v>
      </c>
      <c r="H875" t="s">
        <v>202</v>
      </c>
      <c r="I875" t="s">
        <v>31</v>
      </c>
      <c r="J875">
        <v>262</v>
      </c>
      <c r="K875" t="s">
        <v>203</v>
      </c>
      <c r="L875">
        <v>2</v>
      </c>
      <c r="M875">
        <v>9.6824999999999992</v>
      </c>
      <c r="P875" t="s">
        <v>33</v>
      </c>
      <c r="Q875">
        <v>1</v>
      </c>
      <c r="R875" t="s">
        <v>1272</v>
      </c>
      <c r="S875" t="str">
        <f t="shared" si="0"/>
        <v>Phù hợp 1 phần</v>
      </c>
    </row>
    <row r="876" spans="1:19" hidden="1" x14ac:dyDescent="0.3">
      <c r="A876" t="s">
        <v>991</v>
      </c>
      <c r="B876" t="s">
        <v>992</v>
      </c>
      <c r="C876" t="s">
        <v>944</v>
      </c>
      <c r="D876">
        <v>20777</v>
      </c>
      <c r="E876" t="s">
        <v>174</v>
      </c>
      <c r="F876" t="s">
        <v>155</v>
      </c>
      <c r="G876" t="s">
        <v>175</v>
      </c>
      <c r="H876" t="s">
        <v>176</v>
      </c>
      <c r="I876" t="s">
        <v>31</v>
      </c>
      <c r="J876">
        <v>384</v>
      </c>
      <c r="K876" t="s">
        <v>177</v>
      </c>
      <c r="N876">
        <v>2</v>
      </c>
      <c r="O876">
        <v>0.41299999999999998</v>
      </c>
      <c r="P876" t="s">
        <v>38</v>
      </c>
      <c r="Q876">
        <v>1</v>
      </c>
      <c r="R876" t="s">
        <v>1272</v>
      </c>
      <c r="S876" t="str">
        <f t="shared" si="0"/>
        <v>Phù hợp 1 phần</v>
      </c>
    </row>
    <row r="877" spans="1:19" hidden="1" x14ac:dyDescent="0.3">
      <c r="A877" t="s">
        <v>991</v>
      </c>
      <c r="B877" t="s">
        <v>992</v>
      </c>
      <c r="C877" t="s">
        <v>944</v>
      </c>
      <c r="D877">
        <v>17650</v>
      </c>
      <c r="E877" t="s">
        <v>195</v>
      </c>
      <c r="F877" t="s">
        <v>155</v>
      </c>
      <c r="G877" t="s">
        <v>196</v>
      </c>
      <c r="H877" t="s">
        <v>197</v>
      </c>
      <c r="I877" t="s">
        <v>25</v>
      </c>
      <c r="J877">
        <v>700</v>
      </c>
      <c r="K877" t="s">
        <v>198</v>
      </c>
      <c r="L877">
        <v>3</v>
      </c>
      <c r="M877">
        <v>9.5300999999999991</v>
      </c>
      <c r="P877" t="s">
        <v>33</v>
      </c>
      <c r="Q877">
        <v>1</v>
      </c>
      <c r="R877" t="s">
        <v>1272</v>
      </c>
      <c r="S877" t="str">
        <f t="shared" si="0"/>
        <v>Phù hợp 1 phần</v>
      </c>
    </row>
    <row r="878" spans="1:19" hidden="1" x14ac:dyDescent="0.3">
      <c r="A878" t="s">
        <v>991</v>
      </c>
      <c r="B878" t="s">
        <v>992</v>
      </c>
      <c r="C878" t="s">
        <v>944</v>
      </c>
      <c r="D878">
        <v>20799</v>
      </c>
      <c r="E878" t="s">
        <v>493</v>
      </c>
      <c r="F878" t="s">
        <v>494</v>
      </c>
      <c r="G878" t="s">
        <v>495</v>
      </c>
      <c r="H878" t="s">
        <v>496</v>
      </c>
      <c r="I878" t="s">
        <v>25</v>
      </c>
      <c r="J878">
        <v>575</v>
      </c>
      <c r="K878" t="s">
        <v>497</v>
      </c>
      <c r="L878">
        <v>9</v>
      </c>
      <c r="M878">
        <v>7.5766999999999998</v>
      </c>
      <c r="N878">
        <v>3</v>
      </c>
      <c r="O878">
        <v>0.41210000000000002</v>
      </c>
      <c r="P878" t="s">
        <v>27</v>
      </c>
      <c r="Q878">
        <v>2</v>
      </c>
      <c r="R878" t="s">
        <v>1272</v>
      </c>
      <c r="S878" t="str">
        <f t="shared" si="0"/>
        <v>ok</v>
      </c>
    </row>
    <row r="879" spans="1:19" hidden="1" x14ac:dyDescent="0.3">
      <c r="A879" t="s">
        <v>991</v>
      </c>
      <c r="B879" t="s">
        <v>992</v>
      </c>
      <c r="C879" t="s">
        <v>944</v>
      </c>
      <c r="D879">
        <v>15839</v>
      </c>
      <c r="E879" t="s">
        <v>154</v>
      </c>
      <c r="F879" t="s">
        <v>155</v>
      </c>
      <c r="G879" t="s">
        <v>156</v>
      </c>
      <c r="H879" t="s">
        <v>157</v>
      </c>
      <c r="I879" t="s">
        <v>25</v>
      </c>
      <c r="J879">
        <v>298</v>
      </c>
      <c r="K879" t="s">
        <v>158</v>
      </c>
      <c r="L879">
        <v>4</v>
      </c>
      <c r="M879">
        <v>8.8811</v>
      </c>
      <c r="P879" t="s">
        <v>33</v>
      </c>
      <c r="Q879">
        <v>1</v>
      </c>
      <c r="R879" t="s">
        <v>1272</v>
      </c>
      <c r="S879" t="str">
        <f t="shared" si="0"/>
        <v>Phù hợp 1 phần</v>
      </c>
    </row>
    <row r="880" spans="1:19" hidden="1" x14ac:dyDescent="0.3">
      <c r="A880" t="s">
        <v>991</v>
      </c>
      <c r="B880" t="s">
        <v>992</v>
      </c>
      <c r="C880" t="s">
        <v>944</v>
      </c>
      <c r="D880">
        <v>20259</v>
      </c>
      <c r="E880" t="s">
        <v>49</v>
      </c>
      <c r="F880" t="s">
        <v>50</v>
      </c>
      <c r="G880" t="s">
        <v>51</v>
      </c>
      <c r="H880" t="s">
        <v>52</v>
      </c>
      <c r="I880" t="s">
        <v>25</v>
      </c>
      <c r="J880">
        <v>313</v>
      </c>
      <c r="K880" t="s">
        <v>53</v>
      </c>
      <c r="N880">
        <v>4</v>
      </c>
      <c r="O880">
        <v>0.40350000000000003</v>
      </c>
      <c r="P880" t="s">
        <v>38</v>
      </c>
      <c r="Q880">
        <v>0</v>
      </c>
      <c r="R880" t="s">
        <v>1272</v>
      </c>
      <c r="S880" t="str">
        <f t="shared" si="0"/>
        <v>ko hợp</v>
      </c>
    </row>
    <row r="881" spans="1:19" hidden="1" x14ac:dyDescent="0.3">
      <c r="A881" t="s">
        <v>991</v>
      </c>
      <c r="B881" t="s">
        <v>992</v>
      </c>
      <c r="C881" t="s">
        <v>944</v>
      </c>
      <c r="D881">
        <v>18703</v>
      </c>
      <c r="E881" t="s">
        <v>116</v>
      </c>
      <c r="F881" t="s">
        <v>117</v>
      </c>
      <c r="G881" t="s">
        <v>118</v>
      </c>
      <c r="H881" t="s">
        <v>119</v>
      </c>
      <c r="I881" t="s">
        <v>31</v>
      </c>
      <c r="J881">
        <v>303</v>
      </c>
      <c r="K881" t="s">
        <v>120</v>
      </c>
      <c r="N881">
        <v>5</v>
      </c>
      <c r="O881">
        <v>0.40129999999999999</v>
      </c>
      <c r="P881" t="s">
        <v>38</v>
      </c>
      <c r="Q881">
        <v>2</v>
      </c>
      <c r="R881" t="s">
        <v>1272</v>
      </c>
      <c r="S881" t="str">
        <f t="shared" si="0"/>
        <v>ok</v>
      </c>
    </row>
    <row r="882" spans="1:19" hidden="1" x14ac:dyDescent="0.3">
      <c r="A882" t="s">
        <v>991</v>
      </c>
      <c r="B882" t="s">
        <v>992</v>
      </c>
      <c r="C882" t="s">
        <v>944</v>
      </c>
      <c r="D882">
        <v>19982</v>
      </c>
      <c r="E882" t="s">
        <v>28</v>
      </c>
      <c r="F882" t="s">
        <v>22</v>
      </c>
      <c r="G882" t="s">
        <v>29</v>
      </c>
      <c r="H882" t="s">
        <v>30</v>
      </c>
      <c r="I882" t="s">
        <v>31</v>
      </c>
      <c r="J882">
        <v>543</v>
      </c>
      <c r="K882" t="s">
        <v>32</v>
      </c>
      <c r="L882">
        <v>5</v>
      </c>
      <c r="M882">
        <v>8.0100999999999996</v>
      </c>
      <c r="P882" t="s">
        <v>33</v>
      </c>
      <c r="Q882">
        <v>0</v>
      </c>
      <c r="R882" t="s">
        <v>1272</v>
      </c>
      <c r="S882" t="str">
        <f t="shared" si="0"/>
        <v>ko hợp</v>
      </c>
    </row>
    <row r="883" spans="1:19" hidden="1" x14ac:dyDescent="0.3">
      <c r="A883" t="s">
        <v>991</v>
      </c>
      <c r="B883" t="s">
        <v>992</v>
      </c>
      <c r="C883" t="s">
        <v>944</v>
      </c>
      <c r="D883">
        <v>13494</v>
      </c>
      <c r="E883" t="s">
        <v>993</v>
      </c>
      <c r="F883" t="s">
        <v>155</v>
      </c>
      <c r="G883" t="s">
        <v>994</v>
      </c>
      <c r="H883" t="s">
        <v>995</v>
      </c>
      <c r="I883" t="s">
        <v>31</v>
      </c>
      <c r="J883">
        <v>633</v>
      </c>
      <c r="K883" t="s">
        <v>996</v>
      </c>
      <c r="L883">
        <v>6</v>
      </c>
      <c r="M883">
        <v>7.8865999999999996</v>
      </c>
      <c r="P883" t="s">
        <v>33</v>
      </c>
      <c r="Q883">
        <v>2</v>
      </c>
      <c r="R883" t="s">
        <v>1272</v>
      </c>
      <c r="S883" t="str">
        <f t="shared" si="0"/>
        <v>ok</v>
      </c>
    </row>
    <row r="884" spans="1:19" hidden="1" x14ac:dyDescent="0.3">
      <c r="A884" t="s">
        <v>991</v>
      </c>
      <c r="B884" t="s">
        <v>992</v>
      </c>
      <c r="C884" t="s">
        <v>944</v>
      </c>
      <c r="D884">
        <v>16145</v>
      </c>
      <c r="E884" t="s">
        <v>182</v>
      </c>
      <c r="F884" t="s">
        <v>155</v>
      </c>
      <c r="G884" t="s">
        <v>183</v>
      </c>
      <c r="H884" t="s">
        <v>184</v>
      </c>
      <c r="I884" t="s">
        <v>31</v>
      </c>
      <c r="J884">
        <v>2447</v>
      </c>
      <c r="K884" t="s">
        <v>185</v>
      </c>
      <c r="N884">
        <v>6</v>
      </c>
      <c r="O884">
        <v>0.39</v>
      </c>
      <c r="P884" t="s">
        <v>38</v>
      </c>
      <c r="Q884">
        <v>1</v>
      </c>
      <c r="R884" t="s">
        <v>1272</v>
      </c>
      <c r="S884" t="str">
        <f t="shared" si="0"/>
        <v>Phù hợp 1 phần</v>
      </c>
    </row>
    <row r="885" spans="1:19" hidden="1" x14ac:dyDescent="0.3">
      <c r="A885" t="s">
        <v>991</v>
      </c>
      <c r="B885" t="s">
        <v>992</v>
      </c>
      <c r="C885" t="s">
        <v>944</v>
      </c>
      <c r="D885">
        <v>18919</v>
      </c>
      <c r="E885" t="s">
        <v>997</v>
      </c>
      <c r="F885" t="s">
        <v>155</v>
      </c>
      <c r="G885" t="s">
        <v>909</v>
      </c>
      <c r="H885" t="s">
        <v>998</v>
      </c>
      <c r="I885" t="s">
        <v>31</v>
      </c>
      <c r="J885">
        <v>510</v>
      </c>
      <c r="K885" t="s">
        <v>999</v>
      </c>
      <c r="L885">
        <v>7</v>
      </c>
      <c r="M885">
        <v>7.8784000000000001</v>
      </c>
      <c r="P885" t="s">
        <v>33</v>
      </c>
      <c r="Q885">
        <v>1</v>
      </c>
      <c r="R885" t="s">
        <v>1272</v>
      </c>
      <c r="S885" t="str">
        <f t="shared" si="0"/>
        <v>Phù hợp 1 phần</v>
      </c>
    </row>
    <row r="886" spans="1:19" hidden="1" x14ac:dyDescent="0.3">
      <c r="A886" t="s">
        <v>991</v>
      </c>
      <c r="B886" t="s">
        <v>992</v>
      </c>
      <c r="C886" t="s">
        <v>944</v>
      </c>
      <c r="D886">
        <v>20595</v>
      </c>
      <c r="E886" t="s">
        <v>190</v>
      </c>
      <c r="F886" t="s">
        <v>191</v>
      </c>
      <c r="G886" t="s">
        <v>192</v>
      </c>
      <c r="H886" t="s">
        <v>193</v>
      </c>
      <c r="I886" t="s">
        <v>25</v>
      </c>
      <c r="J886">
        <v>2941</v>
      </c>
      <c r="K886" t="s">
        <v>194</v>
      </c>
      <c r="N886">
        <v>7</v>
      </c>
      <c r="O886">
        <v>0.38700000000000001</v>
      </c>
      <c r="P886" t="s">
        <v>38</v>
      </c>
      <c r="Q886">
        <v>1</v>
      </c>
      <c r="R886" t="s">
        <v>1272</v>
      </c>
      <c r="S886" t="str">
        <f t="shared" si="0"/>
        <v>Phù hợp 1 phần</v>
      </c>
    </row>
    <row r="887" spans="1:19" hidden="1" x14ac:dyDescent="0.3">
      <c r="A887" t="s">
        <v>991</v>
      </c>
      <c r="B887" t="s">
        <v>992</v>
      </c>
      <c r="C887" t="s">
        <v>944</v>
      </c>
      <c r="D887">
        <v>14998</v>
      </c>
      <c r="E887" t="s">
        <v>635</v>
      </c>
      <c r="F887" t="s">
        <v>155</v>
      </c>
      <c r="G887" t="s">
        <v>156</v>
      </c>
      <c r="H887" t="s">
        <v>636</v>
      </c>
      <c r="I887" t="s">
        <v>25</v>
      </c>
      <c r="J887">
        <v>520</v>
      </c>
      <c r="K887" t="s">
        <v>637</v>
      </c>
      <c r="L887">
        <v>8</v>
      </c>
      <c r="M887">
        <v>7.6801000000000004</v>
      </c>
      <c r="P887" t="s">
        <v>33</v>
      </c>
      <c r="Q887">
        <v>2</v>
      </c>
      <c r="R887" t="s">
        <v>1272</v>
      </c>
      <c r="S887" t="str">
        <f t="shared" si="0"/>
        <v>ok</v>
      </c>
    </row>
    <row r="888" spans="1:19" hidden="1" x14ac:dyDescent="0.3">
      <c r="A888" t="s">
        <v>991</v>
      </c>
      <c r="B888" t="s">
        <v>992</v>
      </c>
      <c r="C888" t="s">
        <v>944</v>
      </c>
      <c r="D888">
        <v>19019</v>
      </c>
      <c r="E888" t="s">
        <v>296</v>
      </c>
      <c r="F888" t="s">
        <v>297</v>
      </c>
      <c r="G888" t="s">
        <v>298</v>
      </c>
      <c r="H888" t="s">
        <v>299</v>
      </c>
      <c r="I888" t="s">
        <v>25</v>
      </c>
      <c r="J888">
        <v>999</v>
      </c>
      <c r="K888" t="s">
        <v>300</v>
      </c>
      <c r="N888">
        <v>8</v>
      </c>
      <c r="O888">
        <v>0.38129999999999997</v>
      </c>
      <c r="P888" t="s">
        <v>38</v>
      </c>
      <c r="Q888">
        <v>2</v>
      </c>
      <c r="R888" t="s">
        <v>1272</v>
      </c>
      <c r="S888" t="str">
        <f t="shared" si="0"/>
        <v>ok</v>
      </c>
    </row>
    <row r="889" spans="1:19" hidden="1" x14ac:dyDescent="0.3">
      <c r="A889" t="s">
        <v>991</v>
      </c>
      <c r="B889" t="s">
        <v>992</v>
      </c>
      <c r="C889" t="s">
        <v>944</v>
      </c>
      <c r="D889">
        <v>20532</v>
      </c>
      <c r="E889" t="s">
        <v>221</v>
      </c>
      <c r="F889" t="s">
        <v>222</v>
      </c>
      <c r="G889" t="s">
        <v>41</v>
      </c>
      <c r="H889" t="s">
        <v>223</v>
      </c>
      <c r="I889" t="s">
        <v>25</v>
      </c>
      <c r="J889">
        <v>1105</v>
      </c>
      <c r="K889" t="s">
        <v>224</v>
      </c>
      <c r="N889">
        <v>9</v>
      </c>
      <c r="O889">
        <v>0.37619999999999998</v>
      </c>
      <c r="P889" t="s">
        <v>38</v>
      </c>
      <c r="Q889">
        <v>1</v>
      </c>
      <c r="R889" t="s">
        <v>1272</v>
      </c>
      <c r="S889" t="str">
        <f t="shared" si="0"/>
        <v>Phù hợp 1 phần</v>
      </c>
    </row>
    <row r="890" spans="1:19" hidden="1" x14ac:dyDescent="0.3">
      <c r="A890" t="s">
        <v>991</v>
      </c>
      <c r="B890" t="s">
        <v>992</v>
      </c>
      <c r="C890" t="s">
        <v>944</v>
      </c>
      <c r="D890">
        <v>15995</v>
      </c>
      <c r="E890" t="s">
        <v>513</v>
      </c>
      <c r="F890" t="s">
        <v>155</v>
      </c>
      <c r="G890" t="s">
        <v>514</v>
      </c>
      <c r="H890" t="s">
        <v>515</v>
      </c>
      <c r="I890" t="s">
        <v>31</v>
      </c>
      <c r="J890">
        <v>1282</v>
      </c>
      <c r="K890" t="s">
        <v>516</v>
      </c>
      <c r="L890">
        <v>10</v>
      </c>
      <c r="M890">
        <v>7.5617000000000001</v>
      </c>
      <c r="P890" t="s">
        <v>33</v>
      </c>
      <c r="Q890">
        <v>2</v>
      </c>
      <c r="R890" t="s">
        <v>1272</v>
      </c>
      <c r="S890" t="str">
        <f t="shared" si="0"/>
        <v>ok</v>
      </c>
    </row>
    <row r="891" spans="1:19" hidden="1" x14ac:dyDescent="0.3">
      <c r="A891" t="s">
        <v>991</v>
      </c>
      <c r="B891" t="s">
        <v>992</v>
      </c>
      <c r="C891" t="s">
        <v>944</v>
      </c>
      <c r="D891">
        <v>17349</v>
      </c>
      <c r="E891" t="s">
        <v>234</v>
      </c>
      <c r="F891" t="s">
        <v>155</v>
      </c>
      <c r="G891" t="s">
        <v>235</v>
      </c>
      <c r="H891" t="s">
        <v>236</v>
      </c>
      <c r="I891" t="s">
        <v>25</v>
      </c>
      <c r="J891">
        <v>281</v>
      </c>
      <c r="K891" t="s">
        <v>237</v>
      </c>
      <c r="N891">
        <v>10</v>
      </c>
      <c r="O891">
        <v>0.37340000000000001</v>
      </c>
      <c r="P891" t="s">
        <v>38</v>
      </c>
      <c r="Q891">
        <v>1</v>
      </c>
      <c r="R891" t="s">
        <v>1272</v>
      </c>
      <c r="S891" t="str">
        <f t="shared" si="0"/>
        <v>Phù hợp 1 phần</v>
      </c>
    </row>
    <row r="892" spans="1:19" hidden="1" x14ac:dyDescent="0.3">
      <c r="A892" t="s">
        <v>1000</v>
      </c>
      <c r="B892" t="s">
        <v>1001</v>
      </c>
      <c r="C892" t="s">
        <v>944</v>
      </c>
      <c r="D892">
        <v>9820</v>
      </c>
      <c r="E892" t="s">
        <v>150</v>
      </c>
      <c r="F892" t="s">
        <v>60</v>
      </c>
      <c r="G892" t="s">
        <v>151</v>
      </c>
      <c r="H892" t="s">
        <v>152</v>
      </c>
      <c r="I892" t="s">
        <v>25</v>
      </c>
      <c r="J892">
        <v>2512</v>
      </c>
      <c r="K892" t="s">
        <v>153</v>
      </c>
      <c r="L892">
        <v>5</v>
      </c>
      <c r="M892">
        <v>9.1662999999999997</v>
      </c>
      <c r="N892">
        <v>1</v>
      </c>
      <c r="O892">
        <v>0.45900000000000002</v>
      </c>
      <c r="P892" t="s">
        <v>27</v>
      </c>
      <c r="Q892">
        <v>2</v>
      </c>
      <c r="R892" t="s">
        <v>1272</v>
      </c>
      <c r="S892" t="str">
        <f t="shared" si="0"/>
        <v>ok</v>
      </c>
    </row>
    <row r="893" spans="1:19" hidden="1" x14ac:dyDescent="0.3">
      <c r="A893" t="s">
        <v>1000</v>
      </c>
      <c r="B893" t="s">
        <v>1001</v>
      </c>
      <c r="C893" t="s">
        <v>944</v>
      </c>
      <c r="D893">
        <v>15905</v>
      </c>
      <c r="E893" t="s">
        <v>262</v>
      </c>
      <c r="F893" t="s">
        <v>60</v>
      </c>
      <c r="G893" t="s">
        <v>263</v>
      </c>
      <c r="H893" t="s">
        <v>264</v>
      </c>
      <c r="I893" t="s">
        <v>31</v>
      </c>
      <c r="J893">
        <v>772</v>
      </c>
      <c r="K893" t="s">
        <v>265</v>
      </c>
      <c r="L893">
        <v>1</v>
      </c>
      <c r="M893">
        <v>10.529</v>
      </c>
      <c r="P893" t="s">
        <v>33</v>
      </c>
      <c r="Q893">
        <v>2</v>
      </c>
      <c r="R893" t="s">
        <v>1272</v>
      </c>
      <c r="S893" t="str">
        <f t="shared" si="0"/>
        <v>ok</v>
      </c>
    </row>
    <row r="894" spans="1:19" hidden="1" x14ac:dyDescent="0.3">
      <c r="A894" t="s">
        <v>1000</v>
      </c>
      <c r="B894" t="s">
        <v>1001</v>
      </c>
      <c r="C894" t="s">
        <v>944</v>
      </c>
      <c r="D894">
        <v>14684</v>
      </c>
      <c r="E894" t="s">
        <v>847</v>
      </c>
      <c r="F894" t="s">
        <v>60</v>
      </c>
      <c r="G894" t="s">
        <v>61</v>
      </c>
      <c r="H894" t="s">
        <v>848</v>
      </c>
      <c r="I894" t="s">
        <v>25</v>
      </c>
      <c r="J894">
        <v>1309</v>
      </c>
      <c r="K894" t="s">
        <v>849</v>
      </c>
      <c r="N894">
        <v>2</v>
      </c>
      <c r="O894">
        <v>0.45639999999999997</v>
      </c>
      <c r="P894" t="s">
        <v>38</v>
      </c>
      <c r="Q894">
        <v>2</v>
      </c>
      <c r="R894" t="s">
        <v>1272</v>
      </c>
      <c r="S894" t="str">
        <f t="shared" si="0"/>
        <v>ok</v>
      </c>
    </row>
    <row r="895" spans="1:19" hidden="1" x14ac:dyDescent="0.3">
      <c r="A895" t="s">
        <v>1000</v>
      </c>
      <c r="B895" t="s">
        <v>1001</v>
      </c>
      <c r="C895" t="s">
        <v>944</v>
      </c>
      <c r="D895">
        <v>20772</v>
      </c>
      <c r="E895" t="s">
        <v>292</v>
      </c>
      <c r="F895" t="s">
        <v>293</v>
      </c>
      <c r="G895" t="s">
        <v>41</v>
      </c>
      <c r="H895" t="s">
        <v>294</v>
      </c>
      <c r="I895" t="s">
        <v>25</v>
      </c>
      <c r="J895">
        <v>787</v>
      </c>
      <c r="K895" t="s">
        <v>295</v>
      </c>
      <c r="L895">
        <v>2</v>
      </c>
      <c r="M895">
        <v>9.9753000000000007</v>
      </c>
      <c r="N895">
        <v>9</v>
      </c>
      <c r="O895">
        <v>0.40910000000000002</v>
      </c>
      <c r="P895" t="s">
        <v>27</v>
      </c>
      <c r="Q895">
        <v>2</v>
      </c>
      <c r="R895" t="s">
        <v>1272</v>
      </c>
      <c r="S895" t="str">
        <f t="shared" si="0"/>
        <v>ok</v>
      </c>
    </row>
    <row r="896" spans="1:19" hidden="1" x14ac:dyDescent="0.3">
      <c r="A896" t="s">
        <v>1000</v>
      </c>
      <c r="B896" t="s">
        <v>1001</v>
      </c>
      <c r="C896" t="s">
        <v>944</v>
      </c>
      <c r="D896">
        <v>6637</v>
      </c>
      <c r="E896" t="s">
        <v>735</v>
      </c>
      <c r="F896" t="s">
        <v>60</v>
      </c>
      <c r="G896" t="s">
        <v>736</v>
      </c>
      <c r="H896" t="s">
        <v>737</v>
      </c>
      <c r="I896" t="s">
        <v>25</v>
      </c>
      <c r="J896">
        <v>1382</v>
      </c>
      <c r="K896" t="s">
        <v>738</v>
      </c>
      <c r="L896">
        <v>9</v>
      </c>
      <c r="M896">
        <v>8.7433999999999994</v>
      </c>
      <c r="N896">
        <v>3</v>
      </c>
      <c r="O896">
        <v>0.44350000000000001</v>
      </c>
      <c r="P896" t="s">
        <v>27</v>
      </c>
      <c r="Q896">
        <v>2</v>
      </c>
      <c r="R896" t="s">
        <v>1272</v>
      </c>
      <c r="S896" t="str">
        <f t="shared" si="0"/>
        <v>ok</v>
      </c>
    </row>
    <row r="897" spans="1:19" hidden="1" x14ac:dyDescent="0.3">
      <c r="A897" t="s">
        <v>1000</v>
      </c>
      <c r="B897" t="s">
        <v>1001</v>
      </c>
      <c r="C897" t="s">
        <v>944</v>
      </c>
      <c r="D897">
        <v>13561</v>
      </c>
      <c r="E897" t="s">
        <v>832</v>
      </c>
      <c r="F897" t="s">
        <v>60</v>
      </c>
      <c r="G897" t="s">
        <v>833</v>
      </c>
      <c r="H897" t="s">
        <v>834</v>
      </c>
      <c r="I897" t="s">
        <v>31</v>
      </c>
      <c r="J897">
        <v>498</v>
      </c>
      <c r="K897" t="s">
        <v>835</v>
      </c>
      <c r="L897">
        <v>3</v>
      </c>
      <c r="M897">
        <v>9.4837000000000007</v>
      </c>
      <c r="P897" t="s">
        <v>33</v>
      </c>
      <c r="Q897">
        <v>1</v>
      </c>
      <c r="R897" t="s">
        <v>1272</v>
      </c>
      <c r="S897" t="str">
        <f t="shared" si="0"/>
        <v>Phù hợp 1 phần</v>
      </c>
    </row>
    <row r="898" spans="1:19" hidden="1" x14ac:dyDescent="0.3">
      <c r="A898" t="s">
        <v>1000</v>
      </c>
      <c r="B898" t="s">
        <v>1001</v>
      </c>
      <c r="C898" t="s">
        <v>944</v>
      </c>
      <c r="D898">
        <v>14198</v>
      </c>
      <c r="E898" t="s">
        <v>73</v>
      </c>
      <c r="F898" t="s">
        <v>74</v>
      </c>
      <c r="G898" t="s">
        <v>75</v>
      </c>
      <c r="H898" t="s">
        <v>76</v>
      </c>
      <c r="I898" t="s">
        <v>31</v>
      </c>
      <c r="J898">
        <v>377</v>
      </c>
      <c r="K898" t="s">
        <v>77</v>
      </c>
      <c r="L898">
        <v>4</v>
      </c>
      <c r="M898">
        <v>9.2577999999999996</v>
      </c>
      <c r="P898" t="s">
        <v>33</v>
      </c>
      <c r="Q898">
        <v>2</v>
      </c>
      <c r="R898" t="s">
        <v>1272</v>
      </c>
      <c r="S898" t="str">
        <f t="shared" si="0"/>
        <v>ok</v>
      </c>
    </row>
    <row r="899" spans="1:19" hidden="1" x14ac:dyDescent="0.3">
      <c r="A899" t="s">
        <v>1000</v>
      </c>
      <c r="B899" t="s">
        <v>1001</v>
      </c>
      <c r="C899" t="s">
        <v>944</v>
      </c>
      <c r="D899">
        <v>18422</v>
      </c>
      <c r="E899" t="s">
        <v>301</v>
      </c>
      <c r="F899" t="s">
        <v>302</v>
      </c>
      <c r="G899" t="s">
        <v>303</v>
      </c>
      <c r="H899" t="s">
        <v>304</v>
      </c>
      <c r="I899" t="s">
        <v>31</v>
      </c>
      <c r="J899">
        <v>500</v>
      </c>
      <c r="K899" t="s">
        <v>305</v>
      </c>
      <c r="N899">
        <v>4</v>
      </c>
      <c r="O899">
        <v>0.41970000000000002</v>
      </c>
      <c r="P899" t="s">
        <v>38</v>
      </c>
      <c r="Q899">
        <v>2</v>
      </c>
      <c r="R899" t="s">
        <v>1272</v>
      </c>
      <c r="S899" t="str">
        <f t="shared" si="0"/>
        <v>ok</v>
      </c>
    </row>
    <row r="900" spans="1:19" hidden="1" x14ac:dyDescent="0.3">
      <c r="A900" t="s">
        <v>1000</v>
      </c>
      <c r="B900" t="s">
        <v>1001</v>
      </c>
      <c r="C900" t="s">
        <v>944</v>
      </c>
      <c r="D900">
        <v>20479</v>
      </c>
      <c r="E900" t="s">
        <v>1002</v>
      </c>
      <c r="F900" t="s">
        <v>1003</v>
      </c>
      <c r="G900" t="s">
        <v>41</v>
      </c>
      <c r="H900" t="s">
        <v>1004</v>
      </c>
      <c r="I900" t="s">
        <v>25</v>
      </c>
      <c r="J900">
        <v>576</v>
      </c>
      <c r="K900" t="s">
        <v>1005</v>
      </c>
      <c r="N900">
        <v>5</v>
      </c>
      <c r="O900">
        <v>0.4194</v>
      </c>
      <c r="P900" t="s">
        <v>38</v>
      </c>
      <c r="Q900">
        <v>1</v>
      </c>
      <c r="R900" t="s">
        <v>1272</v>
      </c>
      <c r="S900" t="str">
        <f t="shared" si="0"/>
        <v>Phù hợp 1 phần</v>
      </c>
    </row>
    <row r="901" spans="1:19" hidden="1" x14ac:dyDescent="0.3">
      <c r="A901" t="s">
        <v>1000</v>
      </c>
      <c r="B901" t="s">
        <v>1001</v>
      </c>
      <c r="C901" t="s">
        <v>944</v>
      </c>
      <c r="D901">
        <v>12428</v>
      </c>
      <c r="E901" t="s">
        <v>850</v>
      </c>
      <c r="F901" t="s">
        <v>74</v>
      </c>
      <c r="G901" t="s">
        <v>151</v>
      </c>
      <c r="H901" t="s">
        <v>851</v>
      </c>
      <c r="I901" t="s">
        <v>31</v>
      </c>
      <c r="J901">
        <v>891</v>
      </c>
      <c r="K901" t="s">
        <v>852</v>
      </c>
      <c r="L901">
        <v>6</v>
      </c>
      <c r="M901">
        <v>9.1037999999999997</v>
      </c>
      <c r="P901" t="s">
        <v>33</v>
      </c>
      <c r="Q901">
        <v>2</v>
      </c>
      <c r="R901" t="s">
        <v>1272</v>
      </c>
      <c r="S901" t="str">
        <f t="shared" si="0"/>
        <v>ok</v>
      </c>
    </row>
    <row r="902" spans="1:19" hidden="1" x14ac:dyDescent="0.3">
      <c r="A902" t="s">
        <v>1000</v>
      </c>
      <c r="B902" t="s">
        <v>1001</v>
      </c>
      <c r="C902" t="s">
        <v>944</v>
      </c>
      <c r="D902">
        <v>16333</v>
      </c>
      <c r="E902" t="s">
        <v>956</v>
      </c>
      <c r="F902" t="s">
        <v>155</v>
      </c>
      <c r="G902" t="s">
        <v>156</v>
      </c>
      <c r="H902" t="s">
        <v>957</v>
      </c>
      <c r="I902" t="s">
        <v>31</v>
      </c>
      <c r="J902">
        <v>753</v>
      </c>
      <c r="K902" t="s">
        <v>958</v>
      </c>
      <c r="N902">
        <v>6</v>
      </c>
      <c r="O902">
        <v>0.4173</v>
      </c>
      <c r="P902" t="s">
        <v>38</v>
      </c>
      <c r="Q902">
        <v>2</v>
      </c>
      <c r="R902" t="s">
        <v>1272</v>
      </c>
      <c r="S902" t="str">
        <f t="shared" si="0"/>
        <v>ok</v>
      </c>
    </row>
    <row r="903" spans="1:19" hidden="1" x14ac:dyDescent="0.3">
      <c r="A903" t="s">
        <v>1000</v>
      </c>
      <c r="B903" t="s">
        <v>1001</v>
      </c>
      <c r="C903" t="s">
        <v>944</v>
      </c>
      <c r="D903">
        <v>13237</v>
      </c>
      <c r="E903" t="s">
        <v>137</v>
      </c>
      <c r="F903" t="s">
        <v>60</v>
      </c>
      <c r="G903" t="s">
        <v>138</v>
      </c>
      <c r="H903" t="s">
        <v>139</v>
      </c>
      <c r="I903" t="s">
        <v>31</v>
      </c>
      <c r="J903">
        <v>1213</v>
      </c>
      <c r="K903" t="s">
        <v>140</v>
      </c>
      <c r="L903">
        <v>7</v>
      </c>
      <c r="M903">
        <v>8.9245999999999999</v>
      </c>
      <c r="P903" t="s">
        <v>33</v>
      </c>
      <c r="Q903">
        <v>0</v>
      </c>
      <c r="R903" t="s">
        <v>1272</v>
      </c>
      <c r="S903" t="str">
        <f t="shared" si="0"/>
        <v>ko hợp</v>
      </c>
    </row>
    <row r="904" spans="1:19" hidden="1" x14ac:dyDescent="0.3">
      <c r="A904" t="s">
        <v>1000</v>
      </c>
      <c r="B904" t="s">
        <v>1001</v>
      </c>
      <c r="C904" t="s">
        <v>944</v>
      </c>
      <c r="D904">
        <v>19729</v>
      </c>
      <c r="E904" t="s">
        <v>975</v>
      </c>
      <c r="F904" t="s">
        <v>828</v>
      </c>
      <c r="G904" t="s">
        <v>829</v>
      </c>
      <c r="H904" t="s">
        <v>976</v>
      </c>
      <c r="I904" t="s">
        <v>25</v>
      </c>
      <c r="J904">
        <v>1407</v>
      </c>
      <c r="K904" t="s">
        <v>977</v>
      </c>
      <c r="N904">
        <v>7</v>
      </c>
      <c r="O904">
        <v>0.41499999999999998</v>
      </c>
      <c r="P904" t="s">
        <v>38</v>
      </c>
      <c r="Q904">
        <v>2</v>
      </c>
      <c r="R904" t="s">
        <v>1272</v>
      </c>
      <c r="S904" t="str">
        <f t="shared" si="0"/>
        <v>ok</v>
      </c>
    </row>
    <row r="905" spans="1:19" hidden="1" x14ac:dyDescent="0.3">
      <c r="A905" t="s">
        <v>1000</v>
      </c>
      <c r="B905" t="s">
        <v>1001</v>
      </c>
      <c r="C905" t="s">
        <v>944</v>
      </c>
      <c r="D905">
        <v>10623</v>
      </c>
      <c r="E905" t="s">
        <v>817</v>
      </c>
      <c r="F905" t="s">
        <v>74</v>
      </c>
      <c r="G905" t="s">
        <v>818</v>
      </c>
      <c r="H905" t="s">
        <v>819</v>
      </c>
      <c r="I905" t="s">
        <v>25</v>
      </c>
      <c r="J905">
        <v>578</v>
      </c>
      <c r="K905" t="s">
        <v>820</v>
      </c>
      <c r="N905">
        <v>8</v>
      </c>
      <c r="O905">
        <v>0.41199999999999998</v>
      </c>
      <c r="P905" t="s">
        <v>38</v>
      </c>
      <c r="Q905">
        <v>2</v>
      </c>
      <c r="R905" t="s">
        <v>1272</v>
      </c>
      <c r="S905" t="str">
        <f t="shared" si="0"/>
        <v>ok</v>
      </c>
    </row>
    <row r="906" spans="1:19" hidden="1" x14ac:dyDescent="0.3">
      <c r="A906" t="s">
        <v>1000</v>
      </c>
      <c r="B906" t="s">
        <v>1001</v>
      </c>
      <c r="C906" t="s">
        <v>944</v>
      </c>
      <c r="D906">
        <v>19019</v>
      </c>
      <c r="E906" t="s">
        <v>296</v>
      </c>
      <c r="F906" t="s">
        <v>297</v>
      </c>
      <c r="G906" t="s">
        <v>298</v>
      </c>
      <c r="H906" t="s">
        <v>299</v>
      </c>
      <c r="I906" t="s">
        <v>25</v>
      </c>
      <c r="J906">
        <v>999</v>
      </c>
      <c r="K906" t="s">
        <v>300</v>
      </c>
      <c r="L906">
        <v>8</v>
      </c>
      <c r="M906">
        <v>8.9192999999999998</v>
      </c>
      <c r="N906">
        <v>10</v>
      </c>
      <c r="O906">
        <v>0.4088</v>
      </c>
      <c r="P906" t="s">
        <v>27</v>
      </c>
      <c r="Q906">
        <v>2</v>
      </c>
      <c r="R906" t="s">
        <v>1272</v>
      </c>
      <c r="S906" t="str">
        <f t="shared" si="0"/>
        <v>ok</v>
      </c>
    </row>
    <row r="907" spans="1:19" hidden="1" x14ac:dyDescent="0.3">
      <c r="A907" t="s">
        <v>1000</v>
      </c>
      <c r="B907" t="s">
        <v>1001</v>
      </c>
      <c r="C907" t="s">
        <v>944</v>
      </c>
      <c r="D907">
        <v>16144</v>
      </c>
      <c r="E907" t="s">
        <v>1006</v>
      </c>
      <c r="F907" t="s">
        <v>155</v>
      </c>
      <c r="G907" t="s">
        <v>1007</v>
      </c>
      <c r="H907" t="s">
        <v>1008</v>
      </c>
      <c r="I907" t="s">
        <v>25</v>
      </c>
      <c r="J907">
        <v>555</v>
      </c>
      <c r="K907" t="s">
        <v>1009</v>
      </c>
      <c r="L907">
        <v>10</v>
      </c>
      <c r="M907">
        <v>8.5093999999999994</v>
      </c>
      <c r="P907" t="s">
        <v>33</v>
      </c>
      <c r="Q907">
        <v>2</v>
      </c>
      <c r="R907" t="s">
        <v>1272</v>
      </c>
      <c r="S907" t="str">
        <f t="shared" si="0"/>
        <v>ok</v>
      </c>
    </row>
    <row r="908" spans="1:19" hidden="1" x14ac:dyDescent="0.3">
      <c r="A908" t="s">
        <v>1010</v>
      </c>
      <c r="B908" t="s">
        <v>1011</v>
      </c>
      <c r="C908" t="s">
        <v>944</v>
      </c>
      <c r="D908">
        <v>18831</v>
      </c>
      <c r="E908" t="s">
        <v>841</v>
      </c>
      <c r="F908" t="s">
        <v>842</v>
      </c>
      <c r="G908" t="s">
        <v>41</v>
      </c>
      <c r="H908" t="s">
        <v>843</v>
      </c>
      <c r="I908" t="s">
        <v>31</v>
      </c>
      <c r="J908">
        <v>565</v>
      </c>
      <c r="K908" t="s">
        <v>844</v>
      </c>
      <c r="N908">
        <v>1</v>
      </c>
      <c r="O908">
        <v>0.44769999999999999</v>
      </c>
      <c r="P908" t="s">
        <v>38</v>
      </c>
      <c r="Q908" s="1">
        <v>0</v>
      </c>
      <c r="R908" t="s">
        <v>1272</v>
      </c>
      <c r="S908" t="str">
        <f t="shared" si="0"/>
        <v>ko hợp</v>
      </c>
    </row>
    <row r="909" spans="1:19" hidden="1" x14ac:dyDescent="0.3">
      <c r="A909" t="s">
        <v>1010</v>
      </c>
      <c r="B909" t="s">
        <v>1011</v>
      </c>
      <c r="C909" t="s">
        <v>944</v>
      </c>
      <c r="D909">
        <v>19710</v>
      </c>
      <c r="E909" t="s">
        <v>199</v>
      </c>
      <c r="F909" t="s">
        <v>200</v>
      </c>
      <c r="G909" t="s">
        <v>201</v>
      </c>
      <c r="H909" t="s">
        <v>202</v>
      </c>
      <c r="I909" t="s">
        <v>31</v>
      </c>
      <c r="J909">
        <v>262</v>
      </c>
      <c r="K909" t="s">
        <v>203</v>
      </c>
      <c r="L909">
        <v>1</v>
      </c>
      <c r="M909">
        <v>13.603400000000001</v>
      </c>
      <c r="P909" t="s">
        <v>33</v>
      </c>
      <c r="Q909" s="1">
        <v>1</v>
      </c>
      <c r="R909" t="s">
        <v>1272</v>
      </c>
      <c r="S909" t="str">
        <f t="shared" ref="S909:S972" si="1">IF(Q909=2,"ok",IF(Q909=1,"Phù hợp 1 phần", "ko hợp"))</f>
        <v>Phù hợp 1 phần</v>
      </c>
    </row>
    <row r="910" spans="1:19" hidden="1" x14ac:dyDescent="0.3">
      <c r="A910" t="s">
        <v>1010</v>
      </c>
      <c r="B910" t="s">
        <v>1011</v>
      </c>
      <c r="C910" t="s">
        <v>944</v>
      </c>
      <c r="D910">
        <v>18422</v>
      </c>
      <c r="E910" t="s">
        <v>301</v>
      </c>
      <c r="F910" t="s">
        <v>302</v>
      </c>
      <c r="G910" t="s">
        <v>303</v>
      </c>
      <c r="H910" t="s">
        <v>304</v>
      </c>
      <c r="I910" t="s">
        <v>31</v>
      </c>
      <c r="J910">
        <v>500</v>
      </c>
      <c r="K910" t="s">
        <v>305</v>
      </c>
      <c r="N910">
        <v>2</v>
      </c>
      <c r="O910">
        <v>0.4304</v>
      </c>
      <c r="P910" t="s">
        <v>38</v>
      </c>
      <c r="Q910" s="1">
        <v>2</v>
      </c>
      <c r="R910" t="s">
        <v>1272</v>
      </c>
      <c r="S910" t="str">
        <f t="shared" si="1"/>
        <v>ok</v>
      </c>
    </row>
    <row r="911" spans="1:19" hidden="1" x14ac:dyDescent="0.3">
      <c r="A911" t="s">
        <v>1010</v>
      </c>
      <c r="B911" t="s">
        <v>1011</v>
      </c>
      <c r="C911" t="s">
        <v>944</v>
      </c>
      <c r="D911">
        <v>19982</v>
      </c>
      <c r="E911" t="s">
        <v>28</v>
      </c>
      <c r="F911" t="s">
        <v>22</v>
      </c>
      <c r="G911" t="s">
        <v>29</v>
      </c>
      <c r="H911" t="s">
        <v>30</v>
      </c>
      <c r="I911" t="s">
        <v>31</v>
      </c>
      <c r="J911">
        <v>543</v>
      </c>
      <c r="K911" t="s">
        <v>32</v>
      </c>
      <c r="L911">
        <v>2</v>
      </c>
      <c r="M911">
        <v>10.8986</v>
      </c>
      <c r="P911" t="s">
        <v>33</v>
      </c>
      <c r="Q911" s="1">
        <v>0</v>
      </c>
      <c r="R911" t="s">
        <v>1272</v>
      </c>
      <c r="S911" t="str">
        <f t="shared" si="1"/>
        <v>ko hợp</v>
      </c>
    </row>
    <row r="912" spans="1:19" hidden="1" x14ac:dyDescent="0.3">
      <c r="A912" t="s">
        <v>1010</v>
      </c>
      <c r="B912" t="s">
        <v>1011</v>
      </c>
      <c r="C912" t="s">
        <v>944</v>
      </c>
      <c r="D912">
        <v>10730</v>
      </c>
      <c r="E912" t="s">
        <v>317</v>
      </c>
      <c r="F912" t="s">
        <v>60</v>
      </c>
      <c r="G912" t="s">
        <v>318</v>
      </c>
      <c r="H912" t="s">
        <v>319</v>
      </c>
      <c r="I912" t="s">
        <v>25</v>
      </c>
      <c r="J912">
        <v>800</v>
      </c>
      <c r="K912" t="s">
        <v>320</v>
      </c>
      <c r="L912">
        <v>3</v>
      </c>
      <c r="M912">
        <v>8.9407999999999994</v>
      </c>
      <c r="P912" t="s">
        <v>33</v>
      </c>
      <c r="Q912" s="1">
        <v>1</v>
      </c>
      <c r="R912" t="s">
        <v>1272</v>
      </c>
      <c r="S912" t="str">
        <f t="shared" si="1"/>
        <v>Phù hợp 1 phần</v>
      </c>
    </row>
    <row r="913" spans="1:19" hidden="1" x14ac:dyDescent="0.3">
      <c r="A913" t="s">
        <v>1010</v>
      </c>
      <c r="B913" t="s">
        <v>1011</v>
      </c>
      <c r="C913" t="s">
        <v>944</v>
      </c>
      <c r="D913">
        <v>19312</v>
      </c>
      <c r="E913" t="s">
        <v>321</v>
      </c>
      <c r="F913" t="s">
        <v>322</v>
      </c>
      <c r="G913" t="s">
        <v>323</v>
      </c>
      <c r="H913" t="s">
        <v>324</v>
      </c>
      <c r="I913" t="s">
        <v>31</v>
      </c>
      <c r="J913">
        <v>2453</v>
      </c>
      <c r="K913" t="s">
        <v>325</v>
      </c>
      <c r="N913">
        <v>3</v>
      </c>
      <c r="O913">
        <v>0.43009999999999998</v>
      </c>
      <c r="P913" t="s">
        <v>38</v>
      </c>
      <c r="Q913" s="1">
        <v>0</v>
      </c>
      <c r="R913" t="s">
        <v>1272</v>
      </c>
      <c r="S913" t="str">
        <f t="shared" si="1"/>
        <v>ko hợp</v>
      </c>
    </row>
    <row r="914" spans="1:19" hidden="1" x14ac:dyDescent="0.3">
      <c r="A914" t="s">
        <v>1010</v>
      </c>
      <c r="B914" t="s">
        <v>1011</v>
      </c>
      <c r="C914" t="s">
        <v>944</v>
      </c>
      <c r="D914">
        <v>14198</v>
      </c>
      <c r="E914" t="s">
        <v>73</v>
      </c>
      <c r="F914" t="s">
        <v>74</v>
      </c>
      <c r="G914" t="s">
        <v>75</v>
      </c>
      <c r="H914" t="s">
        <v>76</v>
      </c>
      <c r="I914" t="s">
        <v>31</v>
      </c>
      <c r="J914">
        <v>377</v>
      </c>
      <c r="K914" t="s">
        <v>77</v>
      </c>
      <c r="L914">
        <v>4</v>
      </c>
      <c r="M914">
        <v>8.2417999999999996</v>
      </c>
      <c r="N914">
        <v>4</v>
      </c>
      <c r="O914">
        <v>0.41860000000000003</v>
      </c>
      <c r="P914" t="s">
        <v>27</v>
      </c>
      <c r="Q914" s="1">
        <v>0</v>
      </c>
      <c r="R914" t="s">
        <v>1272</v>
      </c>
      <c r="S914" t="str">
        <f t="shared" si="1"/>
        <v>ko hợp</v>
      </c>
    </row>
    <row r="915" spans="1:19" hidden="1" x14ac:dyDescent="0.3">
      <c r="A915" t="s">
        <v>1010</v>
      </c>
      <c r="B915" t="s">
        <v>1011</v>
      </c>
      <c r="C915" t="s">
        <v>944</v>
      </c>
      <c r="D915">
        <v>13532</v>
      </c>
      <c r="E915" t="s">
        <v>967</v>
      </c>
      <c r="F915" t="s">
        <v>288</v>
      </c>
      <c r="G915" t="s">
        <v>968</v>
      </c>
      <c r="H915" t="s">
        <v>969</v>
      </c>
      <c r="I915" t="s">
        <v>31</v>
      </c>
      <c r="J915">
        <v>622</v>
      </c>
      <c r="K915" t="s">
        <v>970</v>
      </c>
      <c r="L915">
        <v>5</v>
      </c>
      <c r="M915">
        <v>8.1277000000000008</v>
      </c>
      <c r="P915" t="s">
        <v>33</v>
      </c>
      <c r="Q915" s="1">
        <v>1</v>
      </c>
      <c r="R915" t="s">
        <v>1272</v>
      </c>
      <c r="S915" t="str">
        <f t="shared" si="1"/>
        <v>Phù hợp 1 phần</v>
      </c>
    </row>
    <row r="916" spans="1:19" hidden="1" x14ac:dyDescent="0.3">
      <c r="A916" t="s">
        <v>1010</v>
      </c>
      <c r="B916" t="s">
        <v>1011</v>
      </c>
      <c r="C916" t="s">
        <v>944</v>
      </c>
      <c r="D916">
        <v>16290</v>
      </c>
      <c r="E916" t="s">
        <v>799</v>
      </c>
      <c r="F916" t="s">
        <v>74</v>
      </c>
      <c r="G916" t="s">
        <v>800</v>
      </c>
      <c r="H916" t="s">
        <v>801</v>
      </c>
      <c r="I916" t="s">
        <v>25</v>
      </c>
      <c r="J916">
        <v>511</v>
      </c>
      <c r="K916" t="s">
        <v>802</v>
      </c>
      <c r="N916">
        <v>5</v>
      </c>
      <c r="O916">
        <v>0.41260000000000002</v>
      </c>
      <c r="P916" t="s">
        <v>38</v>
      </c>
      <c r="Q916" s="1">
        <v>1</v>
      </c>
      <c r="R916" t="s">
        <v>1272</v>
      </c>
      <c r="S916" t="str">
        <f t="shared" si="1"/>
        <v>Phù hợp 1 phần</v>
      </c>
    </row>
    <row r="917" spans="1:19" hidden="1" x14ac:dyDescent="0.3">
      <c r="A917" t="s">
        <v>1010</v>
      </c>
      <c r="B917" t="s">
        <v>1011</v>
      </c>
      <c r="C917" t="s">
        <v>944</v>
      </c>
      <c r="D917">
        <v>171</v>
      </c>
      <c r="E917" t="s">
        <v>102</v>
      </c>
      <c r="F917" t="s">
        <v>103</v>
      </c>
      <c r="G917" t="s">
        <v>104</v>
      </c>
      <c r="H917" t="s">
        <v>105</v>
      </c>
      <c r="I917" t="s">
        <v>31</v>
      </c>
      <c r="J917">
        <v>474</v>
      </c>
      <c r="K917" t="s">
        <v>106</v>
      </c>
      <c r="N917">
        <v>6</v>
      </c>
      <c r="O917">
        <v>0.4037</v>
      </c>
      <c r="P917" t="s">
        <v>38</v>
      </c>
      <c r="Q917" s="1">
        <v>0</v>
      </c>
      <c r="R917" t="s">
        <v>1272</v>
      </c>
      <c r="S917" t="str">
        <f t="shared" si="1"/>
        <v>ko hợp</v>
      </c>
    </row>
    <row r="918" spans="1:19" hidden="1" x14ac:dyDescent="0.3">
      <c r="A918" t="s">
        <v>1010</v>
      </c>
      <c r="B918" t="s">
        <v>1011</v>
      </c>
      <c r="C918" t="s">
        <v>944</v>
      </c>
      <c r="D918">
        <v>20772</v>
      </c>
      <c r="E918" t="s">
        <v>292</v>
      </c>
      <c r="F918" t="s">
        <v>293</v>
      </c>
      <c r="G918" t="s">
        <v>41</v>
      </c>
      <c r="H918" t="s">
        <v>294</v>
      </c>
      <c r="I918" t="s">
        <v>25</v>
      </c>
      <c r="J918">
        <v>787</v>
      </c>
      <c r="K918" t="s">
        <v>295</v>
      </c>
      <c r="L918">
        <v>6</v>
      </c>
      <c r="M918">
        <v>7.9051</v>
      </c>
      <c r="P918" t="s">
        <v>33</v>
      </c>
      <c r="Q918" s="1">
        <v>0</v>
      </c>
      <c r="R918" t="s">
        <v>1272</v>
      </c>
      <c r="S918" t="str">
        <f t="shared" si="1"/>
        <v>ko hợp</v>
      </c>
    </row>
    <row r="919" spans="1:19" hidden="1" x14ac:dyDescent="0.3">
      <c r="A919" t="s">
        <v>1010</v>
      </c>
      <c r="B919" t="s">
        <v>1011</v>
      </c>
      <c r="C919" t="s">
        <v>944</v>
      </c>
      <c r="D919">
        <v>17650</v>
      </c>
      <c r="E919" t="s">
        <v>195</v>
      </c>
      <c r="F919" t="s">
        <v>155</v>
      </c>
      <c r="G919" t="s">
        <v>196</v>
      </c>
      <c r="H919" t="s">
        <v>197</v>
      </c>
      <c r="I919" t="s">
        <v>25</v>
      </c>
      <c r="J919">
        <v>700</v>
      </c>
      <c r="K919" t="s">
        <v>198</v>
      </c>
      <c r="L919">
        <v>7</v>
      </c>
      <c r="M919">
        <v>7.8651</v>
      </c>
      <c r="P919" t="s">
        <v>33</v>
      </c>
      <c r="Q919" s="1">
        <v>0</v>
      </c>
      <c r="R919" t="s">
        <v>1272</v>
      </c>
      <c r="S919" t="str">
        <f t="shared" si="1"/>
        <v>ko hợp</v>
      </c>
    </row>
    <row r="920" spans="1:19" hidden="1" x14ac:dyDescent="0.3">
      <c r="A920" t="s">
        <v>1010</v>
      </c>
      <c r="B920" t="s">
        <v>1011</v>
      </c>
      <c r="C920" t="s">
        <v>944</v>
      </c>
      <c r="D920">
        <v>20532</v>
      </c>
      <c r="E920" t="s">
        <v>221</v>
      </c>
      <c r="F920" t="s">
        <v>222</v>
      </c>
      <c r="G920" t="s">
        <v>41</v>
      </c>
      <c r="H920" t="s">
        <v>223</v>
      </c>
      <c r="I920" t="s">
        <v>25</v>
      </c>
      <c r="J920">
        <v>1105</v>
      </c>
      <c r="K920" t="s">
        <v>224</v>
      </c>
      <c r="N920">
        <v>7</v>
      </c>
      <c r="O920">
        <v>0.4007</v>
      </c>
      <c r="P920" t="s">
        <v>38</v>
      </c>
      <c r="Q920" s="1">
        <v>0</v>
      </c>
      <c r="R920" t="s">
        <v>1272</v>
      </c>
      <c r="S920" t="str">
        <f t="shared" si="1"/>
        <v>ko hợp</v>
      </c>
    </row>
    <row r="921" spans="1:19" hidden="1" x14ac:dyDescent="0.3">
      <c r="A921" t="s">
        <v>1010</v>
      </c>
      <c r="B921" t="s">
        <v>1011</v>
      </c>
      <c r="C921" t="s">
        <v>944</v>
      </c>
      <c r="D921">
        <v>13681</v>
      </c>
      <c r="E921" t="s">
        <v>112</v>
      </c>
      <c r="F921" t="s">
        <v>74</v>
      </c>
      <c r="G921" t="s">
        <v>113</v>
      </c>
      <c r="H921" t="s">
        <v>114</v>
      </c>
      <c r="I921" t="s">
        <v>31</v>
      </c>
      <c r="J921">
        <v>580</v>
      </c>
      <c r="K921" t="s">
        <v>115</v>
      </c>
      <c r="L921">
        <v>8</v>
      </c>
      <c r="M921">
        <v>7.8352000000000004</v>
      </c>
      <c r="P921" t="s">
        <v>33</v>
      </c>
      <c r="Q921" s="1">
        <v>1</v>
      </c>
      <c r="R921" t="s">
        <v>1272</v>
      </c>
      <c r="S921" t="str">
        <f t="shared" si="1"/>
        <v>Phù hợp 1 phần</v>
      </c>
    </row>
    <row r="922" spans="1:19" hidden="1" x14ac:dyDescent="0.3">
      <c r="A922" t="s">
        <v>1010</v>
      </c>
      <c r="B922" t="s">
        <v>1011</v>
      </c>
      <c r="C922" t="s">
        <v>944</v>
      </c>
      <c r="D922">
        <v>18853</v>
      </c>
      <c r="E922" t="s">
        <v>714</v>
      </c>
      <c r="F922" t="s">
        <v>715</v>
      </c>
      <c r="G922" t="s">
        <v>41</v>
      </c>
      <c r="H922" t="s">
        <v>716</v>
      </c>
      <c r="I922" t="s">
        <v>25</v>
      </c>
      <c r="J922">
        <v>540</v>
      </c>
      <c r="K922" t="s">
        <v>717</v>
      </c>
      <c r="N922">
        <v>8</v>
      </c>
      <c r="O922">
        <v>0.39879999999999999</v>
      </c>
      <c r="P922" t="s">
        <v>38</v>
      </c>
      <c r="Q922" s="1">
        <v>0</v>
      </c>
      <c r="R922" t="s">
        <v>1272</v>
      </c>
      <c r="S922" t="str">
        <f t="shared" si="1"/>
        <v>ko hợp</v>
      </c>
    </row>
    <row r="923" spans="1:19" hidden="1" x14ac:dyDescent="0.3">
      <c r="A923" t="s">
        <v>1010</v>
      </c>
      <c r="B923" t="s">
        <v>1011</v>
      </c>
      <c r="C923" t="s">
        <v>944</v>
      </c>
      <c r="D923">
        <v>15839</v>
      </c>
      <c r="E923" t="s">
        <v>154</v>
      </c>
      <c r="F923" t="s">
        <v>155</v>
      </c>
      <c r="G923" t="s">
        <v>156</v>
      </c>
      <c r="H923" t="s">
        <v>157</v>
      </c>
      <c r="I923" t="s">
        <v>25</v>
      </c>
      <c r="J923">
        <v>298</v>
      </c>
      <c r="K923" t="s">
        <v>158</v>
      </c>
      <c r="L923">
        <v>9</v>
      </c>
      <c r="M923">
        <v>7.7728000000000002</v>
      </c>
      <c r="P923" t="s">
        <v>33</v>
      </c>
      <c r="Q923" s="1">
        <v>0</v>
      </c>
      <c r="R923" t="s">
        <v>1272</v>
      </c>
      <c r="S923" t="str">
        <f t="shared" si="1"/>
        <v>ko hợp</v>
      </c>
    </row>
    <row r="924" spans="1:19" hidden="1" x14ac:dyDescent="0.3">
      <c r="A924" t="s">
        <v>1010</v>
      </c>
      <c r="B924" t="s">
        <v>1011</v>
      </c>
      <c r="C924" t="s">
        <v>944</v>
      </c>
      <c r="D924">
        <v>20775</v>
      </c>
      <c r="E924" t="s">
        <v>368</v>
      </c>
      <c r="F924" t="s">
        <v>369</v>
      </c>
      <c r="G924" t="s">
        <v>41</v>
      </c>
      <c r="H924" t="s">
        <v>370</v>
      </c>
      <c r="I924" t="s">
        <v>25</v>
      </c>
      <c r="J924">
        <v>912</v>
      </c>
      <c r="K924" t="s">
        <v>371</v>
      </c>
      <c r="N924">
        <v>9</v>
      </c>
      <c r="O924">
        <v>0.39800000000000002</v>
      </c>
      <c r="P924" t="s">
        <v>38</v>
      </c>
      <c r="Q924" s="1">
        <v>0</v>
      </c>
      <c r="R924" t="s">
        <v>1272</v>
      </c>
      <c r="S924" t="str">
        <f t="shared" si="1"/>
        <v>ko hợp</v>
      </c>
    </row>
    <row r="925" spans="1:19" hidden="1" x14ac:dyDescent="0.3">
      <c r="A925" t="s">
        <v>1010</v>
      </c>
      <c r="B925" t="s">
        <v>1011</v>
      </c>
      <c r="C925" t="s">
        <v>944</v>
      </c>
      <c r="D925">
        <v>13739</v>
      </c>
      <c r="E925" t="s">
        <v>358</v>
      </c>
      <c r="F925" t="s">
        <v>288</v>
      </c>
      <c r="G925" t="s">
        <v>359</v>
      </c>
      <c r="H925" t="s">
        <v>360</v>
      </c>
      <c r="I925" t="s">
        <v>31</v>
      </c>
      <c r="J925">
        <v>610</v>
      </c>
      <c r="K925" t="s">
        <v>361</v>
      </c>
      <c r="L925">
        <v>10</v>
      </c>
      <c r="M925">
        <v>7.6772999999999998</v>
      </c>
      <c r="P925" t="s">
        <v>33</v>
      </c>
      <c r="Q925" s="1">
        <v>1</v>
      </c>
      <c r="R925" t="s">
        <v>1272</v>
      </c>
      <c r="S925" t="str">
        <f t="shared" si="1"/>
        <v>Phù hợp 1 phần</v>
      </c>
    </row>
    <row r="926" spans="1:19" hidden="1" x14ac:dyDescent="0.3">
      <c r="A926" t="s">
        <v>1010</v>
      </c>
      <c r="B926" t="s">
        <v>1011</v>
      </c>
      <c r="C926" t="s">
        <v>944</v>
      </c>
      <c r="D926">
        <v>19613</v>
      </c>
      <c r="E926" t="s">
        <v>836</v>
      </c>
      <c r="F926" t="s">
        <v>837</v>
      </c>
      <c r="G926" t="s">
        <v>838</v>
      </c>
      <c r="H926" t="s">
        <v>839</v>
      </c>
      <c r="I926" t="s">
        <v>31</v>
      </c>
      <c r="J926">
        <v>265</v>
      </c>
      <c r="K926" t="s">
        <v>840</v>
      </c>
      <c r="N926">
        <v>10</v>
      </c>
      <c r="O926">
        <v>0.39429999999999998</v>
      </c>
      <c r="P926" t="s">
        <v>38</v>
      </c>
      <c r="Q926" s="1">
        <v>2</v>
      </c>
      <c r="R926" t="s">
        <v>1272</v>
      </c>
      <c r="S926" t="str">
        <f t="shared" si="1"/>
        <v>ok</v>
      </c>
    </row>
    <row r="927" spans="1:19" hidden="1" x14ac:dyDescent="0.3">
      <c r="A927" t="s">
        <v>1012</v>
      </c>
      <c r="B927" t="s">
        <v>1013</v>
      </c>
      <c r="C927" t="s">
        <v>944</v>
      </c>
      <c r="D927">
        <v>18422</v>
      </c>
      <c r="E927" t="s">
        <v>301</v>
      </c>
      <c r="F927" t="s">
        <v>302</v>
      </c>
      <c r="G927" t="s">
        <v>303</v>
      </c>
      <c r="H927" t="s">
        <v>304</v>
      </c>
      <c r="I927" t="s">
        <v>31</v>
      </c>
      <c r="J927">
        <v>500</v>
      </c>
      <c r="K927" t="s">
        <v>305</v>
      </c>
      <c r="N927">
        <v>1</v>
      </c>
      <c r="O927">
        <v>0.45550000000000002</v>
      </c>
      <c r="P927" t="s">
        <v>38</v>
      </c>
      <c r="Q927" s="1">
        <v>2</v>
      </c>
      <c r="R927" t="s">
        <v>1272</v>
      </c>
      <c r="S927" t="str">
        <f t="shared" si="1"/>
        <v>ok</v>
      </c>
    </row>
    <row r="928" spans="1:19" hidden="1" x14ac:dyDescent="0.3">
      <c r="A928" t="s">
        <v>1012</v>
      </c>
      <c r="B928" t="s">
        <v>1013</v>
      </c>
      <c r="C928" t="s">
        <v>944</v>
      </c>
      <c r="D928">
        <v>19982</v>
      </c>
      <c r="E928" t="s">
        <v>28</v>
      </c>
      <c r="F928" t="s">
        <v>22</v>
      </c>
      <c r="G928" t="s">
        <v>29</v>
      </c>
      <c r="H928" t="s">
        <v>30</v>
      </c>
      <c r="I928" t="s">
        <v>31</v>
      </c>
      <c r="J928">
        <v>543</v>
      </c>
      <c r="K928" t="s">
        <v>32</v>
      </c>
      <c r="L928">
        <v>1</v>
      </c>
      <c r="M928">
        <v>11.8735</v>
      </c>
      <c r="P928" t="s">
        <v>33</v>
      </c>
      <c r="Q928" s="1">
        <v>1</v>
      </c>
      <c r="R928" t="s">
        <v>1272</v>
      </c>
      <c r="S928" t="str">
        <f t="shared" si="1"/>
        <v>Phù hợp 1 phần</v>
      </c>
    </row>
    <row r="929" spans="1:19" hidden="1" x14ac:dyDescent="0.3">
      <c r="A929" t="s">
        <v>1012</v>
      </c>
      <c r="B929" t="s">
        <v>1013</v>
      </c>
      <c r="C929" t="s">
        <v>944</v>
      </c>
      <c r="D929">
        <v>6637</v>
      </c>
      <c r="E929" t="s">
        <v>735</v>
      </c>
      <c r="F929" t="s">
        <v>60</v>
      </c>
      <c r="G929" t="s">
        <v>736</v>
      </c>
      <c r="H929" t="s">
        <v>737</v>
      </c>
      <c r="I929" t="s">
        <v>25</v>
      </c>
      <c r="J929">
        <v>1382</v>
      </c>
      <c r="K929" t="s">
        <v>738</v>
      </c>
      <c r="N929">
        <v>2</v>
      </c>
      <c r="O929">
        <v>0.45050000000000001</v>
      </c>
      <c r="P929" t="s">
        <v>38</v>
      </c>
      <c r="Q929" s="1">
        <v>0</v>
      </c>
      <c r="R929" t="s">
        <v>1272</v>
      </c>
      <c r="S929" t="str">
        <f t="shared" si="1"/>
        <v>ko hợp</v>
      </c>
    </row>
    <row r="930" spans="1:19" hidden="1" x14ac:dyDescent="0.3">
      <c r="A930" t="s">
        <v>1012</v>
      </c>
      <c r="B930" t="s">
        <v>1013</v>
      </c>
      <c r="C930" t="s">
        <v>944</v>
      </c>
      <c r="D930">
        <v>19710</v>
      </c>
      <c r="E930" t="s">
        <v>199</v>
      </c>
      <c r="F930" t="s">
        <v>200</v>
      </c>
      <c r="G930" t="s">
        <v>201</v>
      </c>
      <c r="H930" t="s">
        <v>202</v>
      </c>
      <c r="I930" t="s">
        <v>31</v>
      </c>
      <c r="J930">
        <v>262</v>
      </c>
      <c r="K930" t="s">
        <v>203</v>
      </c>
      <c r="L930">
        <v>2</v>
      </c>
      <c r="M930">
        <v>9.2715999999999994</v>
      </c>
      <c r="P930" t="s">
        <v>33</v>
      </c>
      <c r="Q930" s="1">
        <v>0</v>
      </c>
      <c r="R930" t="s">
        <v>1272</v>
      </c>
      <c r="S930" t="str">
        <f t="shared" si="1"/>
        <v>ko hợp</v>
      </c>
    </row>
    <row r="931" spans="1:19" hidden="1" x14ac:dyDescent="0.3">
      <c r="A931" t="s">
        <v>1012</v>
      </c>
      <c r="B931" t="s">
        <v>1013</v>
      </c>
      <c r="C931" t="s">
        <v>944</v>
      </c>
      <c r="D931">
        <v>15839</v>
      </c>
      <c r="E931" t="s">
        <v>154</v>
      </c>
      <c r="F931" t="s">
        <v>155</v>
      </c>
      <c r="G931" t="s">
        <v>156</v>
      </c>
      <c r="H931" t="s">
        <v>157</v>
      </c>
      <c r="I931" t="s">
        <v>25</v>
      </c>
      <c r="J931">
        <v>298</v>
      </c>
      <c r="K931" t="s">
        <v>158</v>
      </c>
      <c r="L931">
        <v>3</v>
      </c>
      <c r="M931">
        <v>8.8131000000000004</v>
      </c>
      <c r="P931" t="s">
        <v>33</v>
      </c>
      <c r="Q931" s="1">
        <v>0</v>
      </c>
      <c r="R931" t="s">
        <v>1272</v>
      </c>
      <c r="S931" t="str">
        <f t="shared" si="1"/>
        <v>ko hợp</v>
      </c>
    </row>
    <row r="932" spans="1:19" hidden="1" x14ac:dyDescent="0.3">
      <c r="A932" t="s">
        <v>1012</v>
      </c>
      <c r="B932" t="s">
        <v>1013</v>
      </c>
      <c r="C932" t="s">
        <v>944</v>
      </c>
      <c r="D932">
        <v>19312</v>
      </c>
      <c r="E932" t="s">
        <v>321</v>
      </c>
      <c r="F932" t="s">
        <v>322</v>
      </c>
      <c r="G932" t="s">
        <v>323</v>
      </c>
      <c r="H932" t="s">
        <v>324</v>
      </c>
      <c r="I932" t="s">
        <v>31</v>
      </c>
      <c r="J932">
        <v>2453</v>
      </c>
      <c r="K932" t="s">
        <v>325</v>
      </c>
      <c r="N932">
        <v>3</v>
      </c>
      <c r="O932">
        <v>0.4481</v>
      </c>
      <c r="P932" t="s">
        <v>38</v>
      </c>
      <c r="Q932" s="1">
        <v>0</v>
      </c>
      <c r="R932" t="s">
        <v>1272</v>
      </c>
      <c r="S932" t="str">
        <f t="shared" si="1"/>
        <v>ko hợp</v>
      </c>
    </row>
    <row r="933" spans="1:19" hidden="1" x14ac:dyDescent="0.3">
      <c r="A933" t="s">
        <v>1012</v>
      </c>
      <c r="B933" t="s">
        <v>1013</v>
      </c>
      <c r="C933" t="s">
        <v>944</v>
      </c>
      <c r="D933">
        <v>10730</v>
      </c>
      <c r="E933" t="s">
        <v>317</v>
      </c>
      <c r="F933" t="s">
        <v>60</v>
      </c>
      <c r="G933" t="s">
        <v>318</v>
      </c>
      <c r="H933" t="s">
        <v>319</v>
      </c>
      <c r="I933" t="s">
        <v>25</v>
      </c>
      <c r="J933">
        <v>800</v>
      </c>
      <c r="K933" t="s">
        <v>320</v>
      </c>
      <c r="L933">
        <v>4</v>
      </c>
      <c r="M933">
        <v>8.0562000000000005</v>
      </c>
      <c r="P933" t="s">
        <v>33</v>
      </c>
      <c r="Q933" s="1">
        <v>1</v>
      </c>
      <c r="R933" t="s">
        <v>1272</v>
      </c>
      <c r="S933" t="str">
        <f t="shared" si="1"/>
        <v>Phù hợp 1 phần</v>
      </c>
    </row>
    <row r="934" spans="1:19" hidden="1" x14ac:dyDescent="0.3">
      <c r="A934" t="s">
        <v>1012</v>
      </c>
      <c r="B934" t="s">
        <v>1013</v>
      </c>
      <c r="C934" t="s">
        <v>944</v>
      </c>
      <c r="D934">
        <v>16395</v>
      </c>
      <c r="E934" t="s">
        <v>657</v>
      </c>
      <c r="F934" t="s">
        <v>155</v>
      </c>
      <c r="G934" t="s">
        <v>658</v>
      </c>
      <c r="H934" t="s">
        <v>659</v>
      </c>
      <c r="I934" t="s">
        <v>25</v>
      </c>
      <c r="J934">
        <v>1358</v>
      </c>
      <c r="K934" t="s">
        <v>660</v>
      </c>
      <c r="N934">
        <v>4</v>
      </c>
      <c r="O934">
        <v>0.43809999999999999</v>
      </c>
      <c r="P934" t="s">
        <v>38</v>
      </c>
      <c r="Q934" s="1">
        <v>1</v>
      </c>
      <c r="R934" t="s">
        <v>1272</v>
      </c>
      <c r="S934" t="str">
        <f t="shared" si="1"/>
        <v>Phù hợp 1 phần</v>
      </c>
    </row>
    <row r="935" spans="1:19" hidden="1" x14ac:dyDescent="0.3">
      <c r="A935" t="s">
        <v>1012</v>
      </c>
      <c r="B935" t="s">
        <v>1013</v>
      </c>
      <c r="C935" t="s">
        <v>944</v>
      </c>
      <c r="D935">
        <v>8524</v>
      </c>
      <c r="E935" t="s">
        <v>676</v>
      </c>
      <c r="F935" t="s">
        <v>668</v>
      </c>
      <c r="G935" t="s">
        <v>677</v>
      </c>
      <c r="H935" t="s">
        <v>678</v>
      </c>
      <c r="I935" t="s">
        <v>25</v>
      </c>
      <c r="J935">
        <v>226</v>
      </c>
      <c r="K935" t="s">
        <v>679</v>
      </c>
      <c r="N935">
        <v>5</v>
      </c>
      <c r="O935">
        <v>0.43319999999999997</v>
      </c>
      <c r="P935" t="s">
        <v>38</v>
      </c>
      <c r="Q935" s="1">
        <v>0</v>
      </c>
      <c r="R935" t="s">
        <v>1272</v>
      </c>
      <c r="S935" t="str">
        <f t="shared" si="1"/>
        <v>ko hợp</v>
      </c>
    </row>
    <row r="936" spans="1:19" hidden="1" x14ac:dyDescent="0.3">
      <c r="A936" t="s">
        <v>1012</v>
      </c>
      <c r="B936" t="s">
        <v>1013</v>
      </c>
      <c r="C936" t="s">
        <v>944</v>
      </c>
      <c r="D936">
        <v>20776</v>
      </c>
      <c r="E936" t="s">
        <v>739</v>
      </c>
      <c r="F936" t="s">
        <v>740</v>
      </c>
      <c r="G936" t="s">
        <v>741</v>
      </c>
      <c r="H936" t="s">
        <v>742</v>
      </c>
      <c r="I936" t="s">
        <v>31</v>
      </c>
      <c r="J936">
        <v>386</v>
      </c>
      <c r="K936" t="s">
        <v>743</v>
      </c>
      <c r="L936">
        <v>5</v>
      </c>
      <c r="M936">
        <v>7.9184000000000001</v>
      </c>
      <c r="P936" t="s">
        <v>33</v>
      </c>
      <c r="Q936" s="1">
        <v>0</v>
      </c>
      <c r="R936" t="s">
        <v>1272</v>
      </c>
      <c r="S936" t="str">
        <f t="shared" si="1"/>
        <v>ko hợp</v>
      </c>
    </row>
    <row r="937" spans="1:19" hidden="1" x14ac:dyDescent="0.3">
      <c r="A937" t="s">
        <v>1012</v>
      </c>
      <c r="B937" t="s">
        <v>1013</v>
      </c>
      <c r="C937" t="s">
        <v>944</v>
      </c>
      <c r="D937">
        <v>20185</v>
      </c>
      <c r="E937" t="s">
        <v>885</v>
      </c>
      <c r="F937" t="s">
        <v>842</v>
      </c>
      <c r="G937" t="s">
        <v>886</v>
      </c>
      <c r="H937" t="s">
        <v>887</v>
      </c>
      <c r="I937" t="s">
        <v>31</v>
      </c>
      <c r="J937">
        <v>674</v>
      </c>
      <c r="K937" t="s">
        <v>888</v>
      </c>
      <c r="L937">
        <v>7</v>
      </c>
      <c r="M937">
        <v>7.6138000000000003</v>
      </c>
      <c r="N937">
        <v>6</v>
      </c>
      <c r="O937">
        <v>0.42059999999999997</v>
      </c>
      <c r="P937" t="s">
        <v>27</v>
      </c>
      <c r="Q937" s="1">
        <v>2</v>
      </c>
      <c r="R937" t="s">
        <v>1272</v>
      </c>
      <c r="S937" t="str">
        <f t="shared" si="1"/>
        <v>ok</v>
      </c>
    </row>
    <row r="938" spans="1:19" hidden="1" x14ac:dyDescent="0.3">
      <c r="A938" t="s">
        <v>1012</v>
      </c>
      <c r="B938" t="s">
        <v>1013</v>
      </c>
      <c r="C938" t="s">
        <v>944</v>
      </c>
      <c r="D938">
        <v>20789</v>
      </c>
      <c r="E938" t="s">
        <v>39</v>
      </c>
      <c r="F938" t="s">
        <v>40</v>
      </c>
      <c r="G938" t="s">
        <v>41</v>
      </c>
      <c r="H938" t="s">
        <v>42</v>
      </c>
      <c r="I938" t="s">
        <v>25</v>
      </c>
      <c r="J938">
        <v>810</v>
      </c>
      <c r="K938" t="s">
        <v>43</v>
      </c>
      <c r="L938">
        <v>6</v>
      </c>
      <c r="M938">
        <v>7.7617000000000003</v>
      </c>
      <c r="P938" t="s">
        <v>33</v>
      </c>
      <c r="Q938" s="1">
        <v>0</v>
      </c>
      <c r="R938" t="s">
        <v>1272</v>
      </c>
      <c r="S938" t="str">
        <f t="shared" si="1"/>
        <v>ko hợp</v>
      </c>
    </row>
    <row r="939" spans="1:19" hidden="1" x14ac:dyDescent="0.3">
      <c r="A939" t="s">
        <v>1012</v>
      </c>
      <c r="B939" t="s">
        <v>1013</v>
      </c>
      <c r="C939" t="s">
        <v>944</v>
      </c>
      <c r="D939">
        <v>11481</v>
      </c>
      <c r="E939" t="s">
        <v>1014</v>
      </c>
      <c r="F939" t="s">
        <v>60</v>
      </c>
      <c r="G939" t="s">
        <v>318</v>
      </c>
      <c r="H939" t="s">
        <v>1015</v>
      </c>
      <c r="I939" t="s">
        <v>352</v>
      </c>
      <c r="J939">
        <v>737</v>
      </c>
      <c r="K939" t="s">
        <v>1016</v>
      </c>
      <c r="L939">
        <v>10</v>
      </c>
      <c r="M939">
        <v>6.6525999999999996</v>
      </c>
      <c r="N939">
        <v>7</v>
      </c>
      <c r="O939">
        <v>0.41689999999999999</v>
      </c>
      <c r="P939" t="s">
        <v>27</v>
      </c>
      <c r="Q939" s="1">
        <v>1</v>
      </c>
      <c r="R939" t="s">
        <v>1272</v>
      </c>
      <c r="S939" t="str">
        <f t="shared" si="1"/>
        <v>Phù hợp 1 phần</v>
      </c>
    </row>
    <row r="940" spans="1:19" hidden="1" x14ac:dyDescent="0.3">
      <c r="A940" t="s">
        <v>1012</v>
      </c>
      <c r="B940" t="s">
        <v>1013</v>
      </c>
      <c r="C940" t="s">
        <v>944</v>
      </c>
      <c r="D940">
        <v>14198</v>
      </c>
      <c r="E940" t="s">
        <v>73</v>
      </c>
      <c r="F940" t="s">
        <v>74</v>
      </c>
      <c r="G940" t="s">
        <v>75</v>
      </c>
      <c r="H940" t="s">
        <v>76</v>
      </c>
      <c r="I940" t="s">
        <v>31</v>
      </c>
      <c r="J940">
        <v>377</v>
      </c>
      <c r="K940" t="s">
        <v>77</v>
      </c>
      <c r="L940">
        <v>8</v>
      </c>
      <c r="M940">
        <v>7.4732000000000003</v>
      </c>
      <c r="P940" t="s">
        <v>33</v>
      </c>
      <c r="Q940" s="1">
        <v>0</v>
      </c>
      <c r="R940" t="s">
        <v>1272</v>
      </c>
      <c r="S940" t="str">
        <f t="shared" si="1"/>
        <v>ko hợp</v>
      </c>
    </row>
    <row r="941" spans="1:19" hidden="1" x14ac:dyDescent="0.3">
      <c r="A941" t="s">
        <v>1012</v>
      </c>
      <c r="B941" t="s">
        <v>1013</v>
      </c>
      <c r="C941" t="s">
        <v>944</v>
      </c>
      <c r="D941">
        <v>19019</v>
      </c>
      <c r="E941" t="s">
        <v>296</v>
      </c>
      <c r="F941" t="s">
        <v>297</v>
      </c>
      <c r="G941" t="s">
        <v>298</v>
      </c>
      <c r="H941" t="s">
        <v>299</v>
      </c>
      <c r="I941" t="s">
        <v>25</v>
      </c>
      <c r="J941">
        <v>999</v>
      </c>
      <c r="K941" t="s">
        <v>300</v>
      </c>
      <c r="N941">
        <v>8</v>
      </c>
      <c r="O941">
        <v>0.40839999999999999</v>
      </c>
      <c r="P941" t="s">
        <v>38</v>
      </c>
      <c r="Q941" s="1">
        <v>0</v>
      </c>
      <c r="R941" t="s">
        <v>1272</v>
      </c>
      <c r="S941" t="str">
        <f t="shared" si="1"/>
        <v>ko hợp</v>
      </c>
    </row>
    <row r="942" spans="1:19" hidden="1" x14ac:dyDescent="0.3">
      <c r="A942" t="s">
        <v>1012</v>
      </c>
      <c r="B942" t="s">
        <v>1013</v>
      </c>
      <c r="C942" t="s">
        <v>944</v>
      </c>
      <c r="D942">
        <v>541</v>
      </c>
      <c r="E942" t="s">
        <v>170</v>
      </c>
      <c r="F942" t="s">
        <v>155</v>
      </c>
      <c r="G942" t="s">
        <v>171</v>
      </c>
      <c r="H942" t="s">
        <v>172</v>
      </c>
      <c r="I942" t="s">
        <v>25</v>
      </c>
      <c r="J942">
        <v>738</v>
      </c>
      <c r="K942" t="s">
        <v>173</v>
      </c>
      <c r="L942">
        <v>9</v>
      </c>
      <c r="M942">
        <v>6.7203999999999997</v>
      </c>
      <c r="P942" t="s">
        <v>33</v>
      </c>
      <c r="Q942" s="1">
        <v>0</v>
      </c>
      <c r="R942" t="s">
        <v>1272</v>
      </c>
      <c r="S942" t="str">
        <f t="shared" si="1"/>
        <v>ko hợp</v>
      </c>
    </row>
    <row r="943" spans="1:19" hidden="1" x14ac:dyDescent="0.3">
      <c r="A943" t="s">
        <v>1012</v>
      </c>
      <c r="B943" t="s">
        <v>1013</v>
      </c>
      <c r="C943" t="s">
        <v>944</v>
      </c>
      <c r="D943">
        <v>18831</v>
      </c>
      <c r="E943" t="s">
        <v>841</v>
      </c>
      <c r="F943" t="s">
        <v>842</v>
      </c>
      <c r="G943" t="s">
        <v>41</v>
      </c>
      <c r="H943" t="s">
        <v>843</v>
      </c>
      <c r="I943" t="s">
        <v>31</v>
      </c>
      <c r="J943">
        <v>565</v>
      </c>
      <c r="K943" t="s">
        <v>844</v>
      </c>
      <c r="N943">
        <v>9</v>
      </c>
      <c r="O943">
        <v>0.40839999999999999</v>
      </c>
      <c r="P943" t="s">
        <v>38</v>
      </c>
      <c r="Q943" s="1">
        <v>0</v>
      </c>
      <c r="R943" t="s">
        <v>1272</v>
      </c>
      <c r="S943" t="str">
        <f t="shared" si="1"/>
        <v>ko hợp</v>
      </c>
    </row>
    <row r="944" spans="1:19" hidden="1" x14ac:dyDescent="0.3">
      <c r="A944" t="s">
        <v>1012</v>
      </c>
      <c r="B944" t="s">
        <v>1013</v>
      </c>
      <c r="C944" t="s">
        <v>944</v>
      </c>
      <c r="D944">
        <v>13808</v>
      </c>
      <c r="E944" t="s">
        <v>1017</v>
      </c>
      <c r="F944" t="s">
        <v>60</v>
      </c>
      <c r="G944" t="s">
        <v>772</v>
      </c>
      <c r="H944" t="s">
        <v>1018</v>
      </c>
      <c r="I944" t="s">
        <v>31</v>
      </c>
      <c r="J944">
        <v>724</v>
      </c>
      <c r="K944" t="s">
        <v>1019</v>
      </c>
      <c r="N944">
        <v>10</v>
      </c>
      <c r="O944">
        <v>0.40360000000000001</v>
      </c>
      <c r="P944" t="s">
        <v>38</v>
      </c>
      <c r="Q944" s="1">
        <v>1</v>
      </c>
      <c r="R944" t="s">
        <v>1272</v>
      </c>
      <c r="S944" t="str">
        <f t="shared" si="1"/>
        <v>Phù hợp 1 phần</v>
      </c>
    </row>
    <row r="945" spans="1:19" hidden="1" x14ac:dyDescent="0.3">
      <c r="A945" t="s">
        <v>1020</v>
      </c>
      <c r="B945" t="s">
        <v>1021</v>
      </c>
      <c r="C945" t="s">
        <v>944</v>
      </c>
      <c r="D945">
        <v>447</v>
      </c>
      <c r="E945" t="s">
        <v>813</v>
      </c>
      <c r="F945" t="s">
        <v>22</v>
      </c>
      <c r="G945" t="s">
        <v>814</v>
      </c>
      <c r="H945" t="s">
        <v>815</v>
      </c>
      <c r="I945" t="s">
        <v>25</v>
      </c>
      <c r="J945">
        <v>806</v>
      </c>
      <c r="K945" t="s">
        <v>816</v>
      </c>
      <c r="L945">
        <v>1</v>
      </c>
      <c r="M945">
        <v>13.61</v>
      </c>
      <c r="P945" t="s">
        <v>33</v>
      </c>
      <c r="Q945" s="1">
        <v>1</v>
      </c>
      <c r="R945" t="s">
        <v>1272</v>
      </c>
      <c r="S945" t="str">
        <f t="shared" si="1"/>
        <v>Phù hợp 1 phần</v>
      </c>
    </row>
    <row r="946" spans="1:19" hidden="1" x14ac:dyDescent="0.3">
      <c r="A946" t="s">
        <v>1020</v>
      </c>
      <c r="B946" t="s">
        <v>1021</v>
      </c>
      <c r="C946" t="s">
        <v>944</v>
      </c>
      <c r="D946">
        <v>20353</v>
      </c>
      <c r="E946" t="s">
        <v>164</v>
      </c>
      <c r="F946" t="s">
        <v>165</v>
      </c>
      <c r="G946" t="s">
        <v>41</v>
      </c>
      <c r="H946" t="s">
        <v>166</v>
      </c>
      <c r="I946" t="s">
        <v>31</v>
      </c>
      <c r="J946">
        <v>899</v>
      </c>
      <c r="K946" t="s">
        <v>167</v>
      </c>
      <c r="N946">
        <v>1</v>
      </c>
      <c r="O946">
        <v>0.44030000000000002</v>
      </c>
      <c r="P946" t="s">
        <v>38</v>
      </c>
      <c r="Q946" s="1">
        <v>0</v>
      </c>
      <c r="R946" t="s">
        <v>1272</v>
      </c>
      <c r="S946" t="str">
        <f t="shared" si="1"/>
        <v>ko hợp</v>
      </c>
    </row>
    <row r="947" spans="1:19" hidden="1" x14ac:dyDescent="0.3">
      <c r="A947" t="s">
        <v>1020</v>
      </c>
      <c r="B947" t="s">
        <v>1021</v>
      </c>
      <c r="C947" t="s">
        <v>944</v>
      </c>
      <c r="D947">
        <v>18885</v>
      </c>
      <c r="E947" t="s">
        <v>86</v>
      </c>
      <c r="F947" t="s">
        <v>60</v>
      </c>
      <c r="G947" t="s">
        <v>87</v>
      </c>
      <c r="H947" t="s">
        <v>88</v>
      </c>
      <c r="I947" t="s">
        <v>31</v>
      </c>
      <c r="J947">
        <v>596</v>
      </c>
      <c r="K947" t="s">
        <v>89</v>
      </c>
      <c r="N947">
        <v>2</v>
      </c>
      <c r="O947">
        <v>0.43940000000000001</v>
      </c>
      <c r="P947" t="s">
        <v>38</v>
      </c>
      <c r="Q947" s="1">
        <v>0</v>
      </c>
      <c r="R947" t="s">
        <v>1272</v>
      </c>
      <c r="S947" t="str">
        <f t="shared" si="1"/>
        <v>ko hợp</v>
      </c>
    </row>
    <row r="948" spans="1:19" hidden="1" x14ac:dyDescent="0.3">
      <c r="A948" t="s">
        <v>1020</v>
      </c>
      <c r="B948" t="s">
        <v>1021</v>
      </c>
      <c r="C948" t="s">
        <v>944</v>
      </c>
      <c r="D948">
        <v>20776</v>
      </c>
      <c r="E948" t="s">
        <v>739</v>
      </c>
      <c r="F948" t="s">
        <v>740</v>
      </c>
      <c r="G948" t="s">
        <v>741</v>
      </c>
      <c r="H948" t="s">
        <v>742</v>
      </c>
      <c r="I948" t="s">
        <v>31</v>
      </c>
      <c r="J948">
        <v>386</v>
      </c>
      <c r="K948" t="s">
        <v>743</v>
      </c>
      <c r="L948">
        <v>2</v>
      </c>
      <c r="M948">
        <v>13.596399999999999</v>
      </c>
      <c r="P948" t="s">
        <v>33</v>
      </c>
      <c r="Q948" s="1">
        <v>1</v>
      </c>
      <c r="R948" t="s">
        <v>1272</v>
      </c>
      <c r="S948" t="str">
        <f t="shared" si="1"/>
        <v>Phù hợp 1 phần</v>
      </c>
    </row>
    <row r="949" spans="1:19" hidden="1" x14ac:dyDescent="0.3">
      <c r="A949" t="s">
        <v>1020</v>
      </c>
      <c r="B949" t="s">
        <v>1021</v>
      </c>
      <c r="C949" t="s">
        <v>944</v>
      </c>
      <c r="D949">
        <v>13514</v>
      </c>
      <c r="E949" t="s">
        <v>64</v>
      </c>
      <c r="F949" t="s">
        <v>60</v>
      </c>
      <c r="G949" t="s">
        <v>65</v>
      </c>
      <c r="H949" t="s">
        <v>66</v>
      </c>
      <c r="I949" t="s">
        <v>31</v>
      </c>
      <c r="J949">
        <v>587</v>
      </c>
      <c r="K949" t="s">
        <v>67</v>
      </c>
      <c r="N949">
        <v>3</v>
      </c>
      <c r="O949">
        <v>0.43280000000000002</v>
      </c>
      <c r="P949" t="s">
        <v>38</v>
      </c>
      <c r="Q949" s="1">
        <v>1</v>
      </c>
      <c r="R949" t="s">
        <v>1272</v>
      </c>
      <c r="S949" t="str">
        <f t="shared" si="1"/>
        <v>Phù hợp 1 phần</v>
      </c>
    </row>
    <row r="950" spans="1:19" hidden="1" x14ac:dyDescent="0.3">
      <c r="A950" t="s">
        <v>1020</v>
      </c>
      <c r="B950" t="s">
        <v>1021</v>
      </c>
      <c r="C950" t="s">
        <v>944</v>
      </c>
      <c r="D950">
        <v>20293</v>
      </c>
      <c r="E950" t="s">
        <v>419</v>
      </c>
      <c r="F950" t="s">
        <v>420</v>
      </c>
      <c r="G950" t="s">
        <v>421</v>
      </c>
      <c r="H950" t="s">
        <v>422</v>
      </c>
      <c r="I950" t="s">
        <v>25</v>
      </c>
      <c r="J950">
        <v>2164</v>
      </c>
      <c r="K950" t="s">
        <v>423</v>
      </c>
      <c r="L950">
        <v>3</v>
      </c>
      <c r="M950">
        <v>13.2821</v>
      </c>
      <c r="P950" t="s">
        <v>33</v>
      </c>
      <c r="Q950" s="1">
        <v>2</v>
      </c>
      <c r="R950" t="s">
        <v>1272</v>
      </c>
      <c r="S950" t="str">
        <f t="shared" si="1"/>
        <v>ok</v>
      </c>
    </row>
    <row r="951" spans="1:19" hidden="1" x14ac:dyDescent="0.3">
      <c r="A951" t="s">
        <v>1020</v>
      </c>
      <c r="B951" t="s">
        <v>1021</v>
      </c>
      <c r="C951" t="s">
        <v>944</v>
      </c>
      <c r="D951">
        <v>15093</v>
      </c>
      <c r="E951" t="s">
        <v>452</v>
      </c>
      <c r="F951" t="s">
        <v>60</v>
      </c>
      <c r="G951" t="s">
        <v>453</v>
      </c>
      <c r="H951" t="s">
        <v>454</v>
      </c>
      <c r="I951" t="s">
        <v>31</v>
      </c>
      <c r="J951">
        <v>892</v>
      </c>
      <c r="K951" t="s">
        <v>455</v>
      </c>
      <c r="L951">
        <v>8</v>
      </c>
      <c r="M951">
        <v>12.5045</v>
      </c>
      <c r="N951">
        <v>4</v>
      </c>
      <c r="O951">
        <v>0.43209999999999998</v>
      </c>
      <c r="P951" t="s">
        <v>27</v>
      </c>
      <c r="Q951" s="1">
        <v>1</v>
      </c>
      <c r="R951" t="s">
        <v>1272</v>
      </c>
      <c r="S951" t="str">
        <f t="shared" si="1"/>
        <v>Phù hợp 1 phần</v>
      </c>
    </row>
    <row r="952" spans="1:19" hidden="1" x14ac:dyDescent="0.3">
      <c r="A952" t="s">
        <v>1020</v>
      </c>
      <c r="B952" t="s">
        <v>1021</v>
      </c>
      <c r="C952" t="s">
        <v>944</v>
      </c>
      <c r="D952">
        <v>19982</v>
      </c>
      <c r="E952" t="s">
        <v>28</v>
      </c>
      <c r="F952" t="s">
        <v>22</v>
      </c>
      <c r="G952" t="s">
        <v>29</v>
      </c>
      <c r="H952" t="s">
        <v>30</v>
      </c>
      <c r="I952" t="s">
        <v>31</v>
      </c>
      <c r="J952">
        <v>543</v>
      </c>
      <c r="K952" t="s">
        <v>32</v>
      </c>
      <c r="L952">
        <v>4</v>
      </c>
      <c r="M952">
        <v>13.037800000000001</v>
      </c>
      <c r="P952" t="s">
        <v>33</v>
      </c>
      <c r="Q952" s="1">
        <v>0</v>
      </c>
      <c r="R952" t="s">
        <v>1272</v>
      </c>
      <c r="S952" t="str">
        <f t="shared" si="1"/>
        <v>ko hợp</v>
      </c>
    </row>
    <row r="953" spans="1:19" hidden="1" x14ac:dyDescent="0.3">
      <c r="A953" t="s">
        <v>1020</v>
      </c>
      <c r="B953" t="s">
        <v>1021</v>
      </c>
      <c r="C953" t="s">
        <v>944</v>
      </c>
      <c r="D953">
        <v>13674</v>
      </c>
      <c r="E953" t="s">
        <v>78</v>
      </c>
      <c r="F953" t="s">
        <v>22</v>
      </c>
      <c r="G953" t="s">
        <v>79</v>
      </c>
      <c r="H953" t="s">
        <v>80</v>
      </c>
      <c r="I953" t="s">
        <v>31</v>
      </c>
      <c r="J953">
        <v>1127</v>
      </c>
      <c r="K953" t="s">
        <v>81</v>
      </c>
      <c r="N953">
        <v>5</v>
      </c>
      <c r="O953">
        <v>0.42909999999999998</v>
      </c>
      <c r="P953" t="s">
        <v>38</v>
      </c>
      <c r="Q953" s="1">
        <v>1</v>
      </c>
      <c r="R953" t="s">
        <v>1272</v>
      </c>
      <c r="S953" t="str">
        <f t="shared" si="1"/>
        <v>Phù hợp 1 phần</v>
      </c>
    </row>
    <row r="954" spans="1:19" hidden="1" x14ac:dyDescent="0.3">
      <c r="A954" t="s">
        <v>1020</v>
      </c>
      <c r="B954" t="s">
        <v>1021</v>
      </c>
      <c r="C954" t="s">
        <v>944</v>
      </c>
      <c r="D954">
        <v>20336</v>
      </c>
      <c r="E954" t="s">
        <v>498</v>
      </c>
      <c r="F954" t="s">
        <v>499</v>
      </c>
      <c r="G954" t="s">
        <v>500</v>
      </c>
      <c r="H954" t="s">
        <v>501</v>
      </c>
      <c r="I954" t="s">
        <v>31</v>
      </c>
      <c r="J954">
        <v>1081</v>
      </c>
      <c r="K954" t="s">
        <v>502</v>
      </c>
      <c r="L954">
        <v>5</v>
      </c>
      <c r="M954">
        <v>12.7233</v>
      </c>
      <c r="P954" t="s">
        <v>33</v>
      </c>
      <c r="Q954" s="1">
        <v>1</v>
      </c>
      <c r="R954" t="s">
        <v>1272</v>
      </c>
      <c r="S954" t="str">
        <f t="shared" si="1"/>
        <v>Phù hợp 1 phần</v>
      </c>
    </row>
    <row r="955" spans="1:19" hidden="1" x14ac:dyDescent="0.3">
      <c r="A955" t="s">
        <v>1020</v>
      </c>
      <c r="B955" t="s">
        <v>1021</v>
      </c>
      <c r="C955" t="s">
        <v>944</v>
      </c>
      <c r="D955">
        <v>171</v>
      </c>
      <c r="E955" t="s">
        <v>102</v>
      </c>
      <c r="F955" t="s">
        <v>103</v>
      </c>
      <c r="G955" t="s">
        <v>104</v>
      </c>
      <c r="H955" t="s">
        <v>105</v>
      </c>
      <c r="I955" t="s">
        <v>31</v>
      </c>
      <c r="J955">
        <v>474</v>
      </c>
      <c r="K955" t="s">
        <v>106</v>
      </c>
      <c r="N955">
        <v>6</v>
      </c>
      <c r="O955">
        <v>0.41599999999999998</v>
      </c>
      <c r="P955" t="s">
        <v>38</v>
      </c>
      <c r="Q955" s="1">
        <v>0</v>
      </c>
      <c r="R955" t="s">
        <v>1272</v>
      </c>
      <c r="S955" t="str">
        <f t="shared" si="1"/>
        <v>ko hợp</v>
      </c>
    </row>
    <row r="956" spans="1:19" hidden="1" x14ac:dyDescent="0.3">
      <c r="A956" t="s">
        <v>1020</v>
      </c>
      <c r="B956" t="s">
        <v>1021</v>
      </c>
      <c r="C956" t="s">
        <v>944</v>
      </c>
      <c r="D956">
        <v>18583</v>
      </c>
      <c r="E956" t="s">
        <v>344</v>
      </c>
      <c r="F956" t="s">
        <v>345</v>
      </c>
      <c r="G956" t="s">
        <v>346</v>
      </c>
      <c r="H956" t="s">
        <v>347</v>
      </c>
      <c r="I956" t="s">
        <v>25</v>
      </c>
      <c r="J956">
        <v>2534</v>
      </c>
      <c r="K956" t="s">
        <v>348</v>
      </c>
      <c r="L956">
        <v>6</v>
      </c>
      <c r="M956">
        <v>12.7052</v>
      </c>
      <c r="P956" t="s">
        <v>33</v>
      </c>
      <c r="Q956" s="1">
        <v>1</v>
      </c>
      <c r="R956" t="s">
        <v>1272</v>
      </c>
      <c r="S956" t="str">
        <f t="shared" si="1"/>
        <v>Phù hợp 1 phần</v>
      </c>
    </row>
    <row r="957" spans="1:19" hidden="1" x14ac:dyDescent="0.3">
      <c r="A957" t="s">
        <v>1020</v>
      </c>
      <c r="B957" t="s">
        <v>1021</v>
      </c>
      <c r="C957" t="s">
        <v>944</v>
      </c>
      <c r="D957">
        <v>10433</v>
      </c>
      <c r="E957" t="s">
        <v>424</v>
      </c>
      <c r="F957" t="s">
        <v>425</v>
      </c>
      <c r="G957" t="s">
        <v>426</v>
      </c>
      <c r="H957" t="s">
        <v>427</v>
      </c>
      <c r="I957" t="s">
        <v>25</v>
      </c>
      <c r="J957">
        <v>1153</v>
      </c>
      <c r="K957" t="s">
        <v>428</v>
      </c>
      <c r="L957">
        <v>7</v>
      </c>
      <c r="M957">
        <v>12.536799999999999</v>
      </c>
      <c r="P957" t="s">
        <v>33</v>
      </c>
      <c r="Q957" s="1">
        <v>1</v>
      </c>
      <c r="R957" t="s">
        <v>1272</v>
      </c>
      <c r="S957" t="str">
        <f t="shared" si="1"/>
        <v>Phù hợp 1 phần</v>
      </c>
    </row>
    <row r="958" spans="1:19" hidden="1" x14ac:dyDescent="0.3">
      <c r="A958" t="s">
        <v>1020</v>
      </c>
      <c r="B958" t="s">
        <v>1021</v>
      </c>
      <c r="C958" t="s">
        <v>944</v>
      </c>
      <c r="D958">
        <v>13183</v>
      </c>
      <c r="E958" t="s">
        <v>777</v>
      </c>
      <c r="F958" t="s">
        <v>60</v>
      </c>
      <c r="G958" t="s">
        <v>778</v>
      </c>
      <c r="H958" t="s">
        <v>779</v>
      </c>
      <c r="I958" t="s">
        <v>31</v>
      </c>
      <c r="J958">
        <v>1373</v>
      </c>
      <c r="K958" t="s">
        <v>780</v>
      </c>
      <c r="N958">
        <v>7</v>
      </c>
      <c r="O958">
        <v>0.41370000000000001</v>
      </c>
      <c r="P958" t="s">
        <v>38</v>
      </c>
      <c r="Q958" s="1">
        <v>1</v>
      </c>
      <c r="R958" t="s">
        <v>1272</v>
      </c>
      <c r="S958" t="str">
        <f t="shared" si="1"/>
        <v>Phù hợp 1 phần</v>
      </c>
    </row>
    <row r="959" spans="1:19" hidden="1" x14ac:dyDescent="0.3">
      <c r="A959" t="s">
        <v>1020</v>
      </c>
      <c r="B959" t="s">
        <v>1021</v>
      </c>
      <c r="C959" t="s">
        <v>944</v>
      </c>
      <c r="D959">
        <v>15013</v>
      </c>
      <c r="E959" t="s">
        <v>59</v>
      </c>
      <c r="F959" t="s">
        <v>60</v>
      </c>
      <c r="G959" t="s">
        <v>61</v>
      </c>
      <c r="H959" t="s">
        <v>62</v>
      </c>
      <c r="I959" t="s">
        <v>25</v>
      </c>
      <c r="J959">
        <v>550</v>
      </c>
      <c r="K959" t="s">
        <v>63</v>
      </c>
      <c r="N959">
        <v>8</v>
      </c>
      <c r="O959">
        <v>0.41299999999999998</v>
      </c>
      <c r="P959" t="s">
        <v>38</v>
      </c>
      <c r="Q959" s="1">
        <v>0</v>
      </c>
      <c r="R959" t="s">
        <v>1272</v>
      </c>
      <c r="S959" t="str">
        <f t="shared" si="1"/>
        <v>ko hợp</v>
      </c>
    </row>
    <row r="960" spans="1:19" hidden="1" x14ac:dyDescent="0.3">
      <c r="A960" t="s">
        <v>1020</v>
      </c>
      <c r="B960" t="s">
        <v>1021</v>
      </c>
      <c r="C960" t="s">
        <v>944</v>
      </c>
      <c r="D960">
        <v>14103</v>
      </c>
      <c r="E960" t="s">
        <v>509</v>
      </c>
      <c r="F960" t="s">
        <v>74</v>
      </c>
      <c r="G960" t="s">
        <v>510</v>
      </c>
      <c r="H960" t="s">
        <v>511</v>
      </c>
      <c r="I960" t="s">
        <v>31</v>
      </c>
      <c r="J960">
        <v>290</v>
      </c>
      <c r="K960" t="s">
        <v>512</v>
      </c>
      <c r="N960">
        <v>9</v>
      </c>
      <c r="O960">
        <v>0.41239999999999999</v>
      </c>
      <c r="P960" t="s">
        <v>38</v>
      </c>
      <c r="Q960" s="1">
        <v>0</v>
      </c>
      <c r="R960" t="s">
        <v>1272</v>
      </c>
      <c r="S960" t="str">
        <f t="shared" si="1"/>
        <v>ko hợp</v>
      </c>
    </row>
    <row r="961" spans="1:19" hidden="1" x14ac:dyDescent="0.3">
      <c r="A961" t="s">
        <v>1020</v>
      </c>
      <c r="B961" t="s">
        <v>1021</v>
      </c>
      <c r="C961" t="s">
        <v>944</v>
      </c>
      <c r="D961">
        <v>19710</v>
      </c>
      <c r="E961" t="s">
        <v>199</v>
      </c>
      <c r="F961" t="s">
        <v>200</v>
      </c>
      <c r="G961" t="s">
        <v>201</v>
      </c>
      <c r="H961" t="s">
        <v>202</v>
      </c>
      <c r="I961" t="s">
        <v>31</v>
      </c>
      <c r="J961">
        <v>262</v>
      </c>
      <c r="K961" t="s">
        <v>203</v>
      </c>
      <c r="L961">
        <v>9</v>
      </c>
      <c r="M961">
        <v>12.4191</v>
      </c>
      <c r="P961" t="s">
        <v>33</v>
      </c>
      <c r="Q961" s="1">
        <v>1</v>
      </c>
      <c r="R961" t="s">
        <v>1272</v>
      </c>
      <c r="S961" t="str">
        <f t="shared" si="1"/>
        <v>Phù hợp 1 phần</v>
      </c>
    </row>
    <row r="962" spans="1:19" hidden="1" x14ac:dyDescent="0.3">
      <c r="A962" t="s">
        <v>1020</v>
      </c>
      <c r="B962" t="s">
        <v>1021</v>
      </c>
      <c r="C962" t="s">
        <v>944</v>
      </c>
      <c r="D962">
        <v>19312</v>
      </c>
      <c r="E962" t="s">
        <v>321</v>
      </c>
      <c r="F962" t="s">
        <v>322</v>
      </c>
      <c r="G962" t="s">
        <v>323</v>
      </c>
      <c r="H962" t="s">
        <v>324</v>
      </c>
      <c r="I962" t="s">
        <v>31</v>
      </c>
      <c r="J962">
        <v>2453</v>
      </c>
      <c r="K962" t="s">
        <v>325</v>
      </c>
      <c r="N962">
        <v>10</v>
      </c>
      <c r="O962">
        <v>0.4113</v>
      </c>
      <c r="P962" t="s">
        <v>38</v>
      </c>
      <c r="Q962" s="1">
        <v>0</v>
      </c>
      <c r="R962" t="s">
        <v>1272</v>
      </c>
      <c r="S962" t="str">
        <f t="shared" si="1"/>
        <v>ko hợp</v>
      </c>
    </row>
    <row r="963" spans="1:19" hidden="1" x14ac:dyDescent="0.3">
      <c r="A963" t="s">
        <v>1020</v>
      </c>
      <c r="B963" t="s">
        <v>1021</v>
      </c>
      <c r="C963" t="s">
        <v>944</v>
      </c>
      <c r="D963">
        <v>19395</v>
      </c>
      <c r="E963" t="s">
        <v>609</v>
      </c>
      <c r="F963" t="s">
        <v>22</v>
      </c>
      <c r="G963" t="s">
        <v>610</v>
      </c>
      <c r="H963" t="s">
        <v>611</v>
      </c>
      <c r="I963" t="s">
        <v>31</v>
      </c>
      <c r="J963">
        <v>560</v>
      </c>
      <c r="K963" t="s">
        <v>612</v>
      </c>
      <c r="L963">
        <v>10</v>
      </c>
      <c r="M963">
        <v>12.4068</v>
      </c>
      <c r="P963" t="s">
        <v>33</v>
      </c>
      <c r="Q963" s="1">
        <v>1</v>
      </c>
      <c r="R963" t="s">
        <v>1272</v>
      </c>
      <c r="S963" t="str">
        <f t="shared" si="1"/>
        <v>Phù hợp 1 phần</v>
      </c>
    </row>
    <row r="964" spans="1:19" hidden="1" x14ac:dyDescent="0.3">
      <c r="A964" t="s">
        <v>1022</v>
      </c>
      <c r="B964" t="s">
        <v>1023</v>
      </c>
      <c r="C964" t="s">
        <v>944</v>
      </c>
      <c r="D964">
        <v>15013</v>
      </c>
      <c r="E964" t="s">
        <v>59</v>
      </c>
      <c r="F964" t="s">
        <v>60</v>
      </c>
      <c r="G964" t="s">
        <v>61</v>
      </c>
      <c r="H964" t="s">
        <v>62</v>
      </c>
      <c r="I964" t="s">
        <v>25</v>
      </c>
      <c r="J964">
        <v>550</v>
      </c>
      <c r="K964" t="s">
        <v>63</v>
      </c>
      <c r="L964">
        <v>3</v>
      </c>
      <c r="M964">
        <v>9.1495999999999995</v>
      </c>
      <c r="N964">
        <v>1</v>
      </c>
      <c r="O964">
        <v>0.49690000000000001</v>
      </c>
      <c r="P964" t="s">
        <v>27</v>
      </c>
      <c r="Q964" s="1">
        <v>1</v>
      </c>
      <c r="R964" t="s">
        <v>1272</v>
      </c>
      <c r="S964" t="str">
        <f t="shared" si="1"/>
        <v>Phù hợp 1 phần</v>
      </c>
    </row>
    <row r="965" spans="1:19" hidden="1" x14ac:dyDescent="0.3">
      <c r="A965" t="s">
        <v>1022</v>
      </c>
      <c r="B965" t="s">
        <v>1023</v>
      </c>
      <c r="C965" t="s">
        <v>944</v>
      </c>
      <c r="D965">
        <v>19982</v>
      </c>
      <c r="E965" t="s">
        <v>28</v>
      </c>
      <c r="F965" t="s">
        <v>22</v>
      </c>
      <c r="G965" t="s">
        <v>29</v>
      </c>
      <c r="H965" t="s">
        <v>30</v>
      </c>
      <c r="I965" t="s">
        <v>31</v>
      </c>
      <c r="J965">
        <v>543</v>
      </c>
      <c r="K965" t="s">
        <v>32</v>
      </c>
      <c r="L965">
        <v>1</v>
      </c>
      <c r="M965">
        <v>11.8735</v>
      </c>
      <c r="P965" t="s">
        <v>33</v>
      </c>
      <c r="Q965" s="1">
        <v>1</v>
      </c>
      <c r="R965" t="s">
        <v>1272</v>
      </c>
      <c r="S965" t="str">
        <f t="shared" si="1"/>
        <v>Phù hợp 1 phần</v>
      </c>
    </row>
    <row r="966" spans="1:19" hidden="1" x14ac:dyDescent="0.3">
      <c r="A966" t="s">
        <v>1022</v>
      </c>
      <c r="B966" t="s">
        <v>1023</v>
      </c>
      <c r="C966" t="s">
        <v>944</v>
      </c>
      <c r="D966">
        <v>14684</v>
      </c>
      <c r="E966" t="s">
        <v>847</v>
      </c>
      <c r="F966" t="s">
        <v>60</v>
      </c>
      <c r="G966" t="s">
        <v>61</v>
      </c>
      <c r="H966" t="s">
        <v>848</v>
      </c>
      <c r="I966" t="s">
        <v>25</v>
      </c>
      <c r="J966">
        <v>1309</v>
      </c>
      <c r="K966" t="s">
        <v>849</v>
      </c>
      <c r="L966">
        <v>8</v>
      </c>
      <c r="M966">
        <v>8.0311000000000003</v>
      </c>
      <c r="N966">
        <v>2</v>
      </c>
      <c r="O966">
        <v>0.47520000000000001</v>
      </c>
      <c r="P966" t="s">
        <v>27</v>
      </c>
      <c r="Q966" s="1">
        <v>1</v>
      </c>
      <c r="R966" t="s">
        <v>1272</v>
      </c>
      <c r="S966" t="str">
        <f t="shared" si="1"/>
        <v>Phù hợp 1 phần</v>
      </c>
    </row>
    <row r="967" spans="1:19" hidden="1" x14ac:dyDescent="0.3">
      <c r="A967" t="s">
        <v>1022</v>
      </c>
      <c r="B967" t="s">
        <v>1023</v>
      </c>
      <c r="C967" t="s">
        <v>944</v>
      </c>
      <c r="D967">
        <v>17533</v>
      </c>
      <c r="E967" t="s">
        <v>746</v>
      </c>
      <c r="F967" t="s">
        <v>60</v>
      </c>
      <c r="G967" t="s">
        <v>719</v>
      </c>
      <c r="H967" t="s">
        <v>747</v>
      </c>
      <c r="I967" t="s">
        <v>25</v>
      </c>
      <c r="J967">
        <v>907</v>
      </c>
      <c r="K967" t="s">
        <v>748</v>
      </c>
      <c r="L967">
        <v>2</v>
      </c>
      <c r="M967">
        <v>9.3393999999999995</v>
      </c>
      <c r="P967" t="s">
        <v>33</v>
      </c>
      <c r="Q967" s="1">
        <v>0</v>
      </c>
      <c r="R967" t="s">
        <v>1272</v>
      </c>
      <c r="S967" t="str">
        <f t="shared" si="1"/>
        <v>ko hợp</v>
      </c>
    </row>
    <row r="968" spans="1:19" hidden="1" x14ac:dyDescent="0.3">
      <c r="A968" t="s">
        <v>1022</v>
      </c>
      <c r="B968" t="s">
        <v>1023</v>
      </c>
      <c r="C968" t="s">
        <v>944</v>
      </c>
      <c r="D968">
        <v>6637</v>
      </c>
      <c r="E968" t="s">
        <v>735</v>
      </c>
      <c r="F968" t="s">
        <v>60</v>
      </c>
      <c r="G968" t="s">
        <v>736</v>
      </c>
      <c r="H968" t="s">
        <v>737</v>
      </c>
      <c r="I968" t="s">
        <v>25</v>
      </c>
      <c r="J968">
        <v>1382</v>
      </c>
      <c r="K968" t="s">
        <v>738</v>
      </c>
      <c r="L968">
        <v>6</v>
      </c>
      <c r="M968">
        <v>8.2619000000000007</v>
      </c>
      <c r="N968">
        <v>3</v>
      </c>
      <c r="O968">
        <v>0.47460000000000002</v>
      </c>
      <c r="P968" t="s">
        <v>27</v>
      </c>
      <c r="Q968" s="1">
        <v>0</v>
      </c>
      <c r="R968" t="s">
        <v>1272</v>
      </c>
      <c r="S968" t="str">
        <f t="shared" si="1"/>
        <v>ko hợp</v>
      </c>
    </row>
    <row r="969" spans="1:19" hidden="1" x14ac:dyDescent="0.3">
      <c r="A969" t="s">
        <v>1022</v>
      </c>
      <c r="B969" t="s">
        <v>1023</v>
      </c>
      <c r="C969" t="s">
        <v>944</v>
      </c>
      <c r="D969">
        <v>8524</v>
      </c>
      <c r="E969" t="s">
        <v>676</v>
      </c>
      <c r="F969" t="s">
        <v>668</v>
      </c>
      <c r="G969" t="s">
        <v>677</v>
      </c>
      <c r="H969" t="s">
        <v>678</v>
      </c>
      <c r="I969" t="s">
        <v>25</v>
      </c>
      <c r="J969">
        <v>226</v>
      </c>
      <c r="K969" t="s">
        <v>679</v>
      </c>
      <c r="N969">
        <v>4</v>
      </c>
      <c r="O969">
        <v>0.46039999999999998</v>
      </c>
      <c r="P969" t="s">
        <v>38</v>
      </c>
      <c r="Q969" s="1">
        <v>0</v>
      </c>
      <c r="R969" t="s">
        <v>1272</v>
      </c>
      <c r="S969" t="str">
        <f t="shared" si="1"/>
        <v>ko hợp</v>
      </c>
    </row>
    <row r="970" spans="1:19" hidden="1" x14ac:dyDescent="0.3">
      <c r="A970" t="s">
        <v>1022</v>
      </c>
      <c r="B970" t="s">
        <v>1023</v>
      </c>
      <c r="C970" t="s">
        <v>944</v>
      </c>
      <c r="D970">
        <v>15839</v>
      </c>
      <c r="E970" t="s">
        <v>154</v>
      </c>
      <c r="F970" t="s">
        <v>155</v>
      </c>
      <c r="G970" t="s">
        <v>156</v>
      </c>
      <c r="H970" t="s">
        <v>157</v>
      </c>
      <c r="I970" t="s">
        <v>25</v>
      </c>
      <c r="J970">
        <v>298</v>
      </c>
      <c r="K970" t="s">
        <v>158</v>
      </c>
      <c r="L970">
        <v>4</v>
      </c>
      <c r="M970">
        <v>8.8131000000000004</v>
      </c>
      <c r="P970" t="s">
        <v>33</v>
      </c>
      <c r="Q970" s="1">
        <v>0</v>
      </c>
      <c r="R970" t="s">
        <v>1272</v>
      </c>
      <c r="S970" t="str">
        <f t="shared" si="1"/>
        <v>ko hợp</v>
      </c>
    </row>
    <row r="971" spans="1:19" hidden="1" x14ac:dyDescent="0.3">
      <c r="A971" t="s">
        <v>1022</v>
      </c>
      <c r="B971" t="s">
        <v>1023</v>
      </c>
      <c r="C971" t="s">
        <v>944</v>
      </c>
      <c r="D971">
        <v>13561</v>
      </c>
      <c r="E971" t="s">
        <v>832</v>
      </c>
      <c r="F971" t="s">
        <v>60</v>
      </c>
      <c r="G971" t="s">
        <v>833</v>
      </c>
      <c r="H971" t="s">
        <v>834</v>
      </c>
      <c r="I971" t="s">
        <v>31</v>
      </c>
      <c r="J971">
        <v>498</v>
      </c>
      <c r="K971" t="s">
        <v>835</v>
      </c>
      <c r="L971">
        <v>5</v>
      </c>
      <c r="M971">
        <v>8.6925000000000008</v>
      </c>
      <c r="N971">
        <v>6</v>
      </c>
      <c r="O971">
        <v>0.44490000000000002</v>
      </c>
      <c r="P971" t="s">
        <v>27</v>
      </c>
      <c r="Q971" s="1">
        <v>1</v>
      </c>
      <c r="R971" t="s">
        <v>1272</v>
      </c>
      <c r="S971" t="str">
        <f t="shared" si="1"/>
        <v>Phù hợp 1 phần</v>
      </c>
    </row>
    <row r="972" spans="1:19" hidden="1" x14ac:dyDescent="0.3">
      <c r="A972" t="s">
        <v>1022</v>
      </c>
      <c r="B972" t="s">
        <v>1023</v>
      </c>
      <c r="C972" t="s">
        <v>944</v>
      </c>
      <c r="D972">
        <v>16395</v>
      </c>
      <c r="E972" t="s">
        <v>657</v>
      </c>
      <c r="F972" t="s">
        <v>155</v>
      </c>
      <c r="G972" t="s">
        <v>658</v>
      </c>
      <c r="H972" t="s">
        <v>659</v>
      </c>
      <c r="I972" t="s">
        <v>25</v>
      </c>
      <c r="J972">
        <v>1358</v>
      </c>
      <c r="K972" t="s">
        <v>660</v>
      </c>
      <c r="N972">
        <v>5</v>
      </c>
      <c r="O972">
        <v>0.45600000000000002</v>
      </c>
      <c r="P972" t="s">
        <v>38</v>
      </c>
      <c r="Q972" s="1">
        <v>1</v>
      </c>
      <c r="R972" t="s">
        <v>1272</v>
      </c>
      <c r="S972" t="str">
        <f t="shared" si="1"/>
        <v>Phù hợp 1 phần</v>
      </c>
    </row>
    <row r="973" spans="1:19" hidden="1" x14ac:dyDescent="0.3">
      <c r="A973" t="s">
        <v>1022</v>
      </c>
      <c r="B973" t="s">
        <v>1023</v>
      </c>
      <c r="C973" t="s">
        <v>944</v>
      </c>
      <c r="D973">
        <v>18457</v>
      </c>
      <c r="E973" t="s">
        <v>986</v>
      </c>
      <c r="F973" t="s">
        <v>987</v>
      </c>
      <c r="G973" t="s">
        <v>988</v>
      </c>
      <c r="H973" t="s">
        <v>989</v>
      </c>
      <c r="I973" t="s">
        <v>31</v>
      </c>
      <c r="J973">
        <v>3005</v>
      </c>
      <c r="K973" t="s">
        <v>990</v>
      </c>
      <c r="N973">
        <v>7</v>
      </c>
      <c r="O973">
        <v>0.44359999999999999</v>
      </c>
      <c r="P973" t="s">
        <v>38</v>
      </c>
      <c r="Q973" s="1">
        <v>1</v>
      </c>
      <c r="R973" t="s">
        <v>1272</v>
      </c>
      <c r="S973" t="str">
        <f t="shared" ref="S973:S1036" si="2">IF(Q973=2,"ok",IF(Q973=1,"Phù hợp 1 phần", "ko hợp"))</f>
        <v>Phù hợp 1 phần</v>
      </c>
    </row>
    <row r="974" spans="1:19" hidden="1" x14ac:dyDescent="0.3">
      <c r="A974" t="s">
        <v>1022</v>
      </c>
      <c r="B974" t="s">
        <v>1023</v>
      </c>
      <c r="C974" t="s">
        <v>944</v>
      </c>
      <c r="D974">
        <v>19710</v>
      </c>
      <c r="E974" t="s">
        <v>199</v>
      </c>
      <c r="F974" t="s">
        <v>200</v>
      </c>
      <c r="G974" t="s">
        <v>201</v>
      </c>
      <c r="H974" t="s">
        <v>202</v>
      </c>
      <c r="I974" t="s">
        <v>31</v>
      </c>
      <c r="J974">
        <v>262</v>
      </c>
      <c r="K974" t="s">
        <v>203</v>
      </c>
      <c r="L974">
        <v>7</v>
      </c>
      <c r="M974">
        <v>8.0874000000000006</v>
      </c>
      <c r="P974" t="s">
        <v>33</v>
      </c>
      <c r="Q974" s="1">
        <v>0</v>
      </c>
      <c r="R974" t="s">
        <v>1272</v>
      </c>
      <c r="S974" t="str">
        <f t="shared" si="2"/>
        <v>ko hợp</v>
      </c>
    </row>
    <row r="975" spans="1:19" hidden="1" x14ac:dyDescent="0.3">
      <c r="A975" t="s">
        <v>1022</v>
      </c>
      <c r="B975" t="s">
        <v>1023</v>
      </c>
      <c r="C975" t="s">
        <v>944</v>
      </c>
      <c r="D975">
        <v>20185</v>
      </c>
      <c r="E975" t="s">
        <v>885</v>
      </c>
      <c r="F975" t="s">
        <v>842</v>
      </c>
      <c r="G975" t="s">
        <v>886</v>
      </c>
      <c r="H975" t="s">
        <v>887</v>
      </c>
      <c r="I975" t="s">
        <v>31</v>
      </c>
      <c r="J975">
        <v>674</v>
      </c>
      <c r="K975" t="s">
        <v>888</v>
      </c>
      <c r="N975">
        <v>8</v>
      </c>
      <c r="O975">
        <v>0.44290000000000002</v>
      </c>
      <c r="P975" t="s">
        <v>38</v>
      </c>
      <c r="Q975" s="1">
        <v>1</v>
      </c>
      <c r="R975" t="s">
        <v>1272</v>
      </c>
      <c r="S975" t="str">
        <f t="shared" si="2"/>
        <v>Phù hợp 1 phần</v>
      </c>
    </row>
    <row r="976" spans="1:19" hidden="1" x14ac:dyDescent="0.3">
      <c r="A976" t="s">
        <v>1022</v>
      </c>
      <c r="B976" t="s">
        <v>1023</v>
      </c>
      <c r="C976" t="s">
        <v>944</v>
      </c>
      <c r="D976">
        <v>11481</v>
      </c>
      <c r="E976" t="s">
        <v>1014</v>
      </c>
      <c r="F976" t="s">
        <v>60</v>
      </c>
      <c r="G976" t="s">
        <v>318</v>
      </c>
      <c r="H976" t="s">
        <v>1015</v>
      </c>
      <c r="I976" t="s">
        <v>352</v>
      </c>
      <c r="J976">
        <v>737</v>
      </c>
      <c r="K976" t="s">
        <v>1016</v>
      </c>
      <c r="L976">
        <v>9</v>
      </c>
      <c r="M976">
        <v>8.0009999999999994</v>
      </c>
      <c r="P976" t="s">
        <v>33</v>
      </c>
      <c r="Q976" s="1">
        <v>0</v>
      </c>
      <c r="R976" t="s">
        <v>1272</v>
      </c>
      <c r="S976" t="str">
        <f t="shared" si="2"/>
        <v>ko hợp</v>
      </c>
    </row>
    <row r="977" spans="1:19" hidden="1" x14ac:dyDescent="0.3">
      <c r="A977" t="s">
        <v>1022</v>
      </c>
      <c r="B977" t="s">
        <v>1023</v>
      </c>
      <c r="C977" t="s">
        <v>944</v>
      </c>
      <c r="D977">
        <v>19729</v>
      </c>
      <c r="E977" t="s">
        <v>975</v>
      </c>
      <c r="F977" t="s">
        <v>828</v>
      </c>
      <c r="G977" t="s">
        <v>829</v>
      </c>
      <c r="H977" t="s">
        <v>976</v>
      </c>
      <c r="I977" t="s">
        <v>25</v>
      </c>
      <c r="J977">
        <v>1407</v>
      </c>
      <c r="K977" t="s">
        <v>977</v>
      </c>
      <c r="N977">
        <v>9</v>
      </c>
      <c r="O977">
        <v>0.43190000000000001</v>
      </c>
      <c r="P977" t="s">
        <v>38</v>
      </c>
      <c r="Q977" s="1">
        <v>2</v>
      </c>
      <c r="R977" t="s">
        <v>1272</v>
      </c>
      <c r="S977" t="str">
        <f t="shared" si="2"/>
        <v>ok</v>
      </c>
    </row>
    <row r="978" spans="1:19" hidden="1" x14ac:dyDescent="0.3">
      <c r="A978" t="s">
        <v>1022</v>
      </c>
      <c r="B978" t="s">
        <v>1023</v>
      </c>
      <c r="C978" t="s">
        <v>944</v>
      </c>
      <c r="D978">
        <v>20259</v>
      </c>
      <c r="E978" t="s">
        <v>49</v>
      </c>
      <c r="F978" t="s">
        <v>50</v>
      </c>
      <c r="G978" t="s">
        <v>51</v>
      </c>
      <c r="H978" t="s">
        <v>52</v>
      </c>
      <c r="I978" t="s">
        <v>25</v>
      </c>
      <c r="J978">
        <v>313</v>
      </c>
      <c r="K978" t="s">
        <v>53</v>
      </c>
      <c r="N978">
        <v>10</v>
      </c>
      <c r="O978">
        <v>0.43070000000000003</v>
      </c>
      <c r="P978" t="s">
        <v>38</v>
      </c>
      <c r="Q978" s="1">
        <v>0</v>
      </c>
      <c r="R978" t="s">
        <v>1272</v>
      </c>
      <c r="S978" t="str">
        <f t="shared" si="2"/>
        <v>ko hợp</v>
      </c>
    </row>
    <row r="979" spans="1:19" hidden="1" x14ac:dyDescent="0.3">
      <c r="A979" t="s">
        <v>1022</v>
      </c>
      <c r="B979" t="s">
        <v>1023</v>
      </c>
      <c r="C979" t="s">
        <v>944</v>
      </c>
      <c r="D979">
        <v>20789</v>
      </c>
      <c r="E979" t="s">
        <v>39</v>
      </c>
      <c r="F979" t="s">
        <v>40</v>
      </c>
      <c r="G979" t="s">
        <v>41</v>
      </c>
      <c r="H979" t="s">
        <v>42</v>
      </c>
      <c r="I979" t="s">
        <v>25</v>
      </c>
      <c r="J979">
        <v>810</v>
      </c>
      <c r="K979" t="s">
        <v>43</v>
      </c>
      <c r="L979">
        <v>10</v>
      </c>
      <c r="M979">
        <v>7.7617000000000003</v>
      </c>
      <c r="P979" t="s">
        <v>33</v>
      </c>
      <c r="Q979" s="1">
        <v>0</v>
      </c>
      <c r="R979" t="s">
        <v>1272</v>
      </c>
      <c r="S979" t="str">
        <f t="shared" si="2"/>
        <v>ko hợp</v>
      </c>
    </row>
    <row r="980" spans="1:19" hidden="1" x14ac:dyDescent="0.3">
      <c r="A980" t="s">
        <v>1024</v>
      </c>
      <c r="B980" t="s">
        <v>1025</v>
      </c>
      <c r="C980" t="s">
        <v>944</v>
      </c>
      <c r="D980">
        <v>16838</v>
      </c>
      <c r="E980" t="s">
        <v>129</v>
      </c>
      <c r="F980" t="s">
        <v>60</v>
      </c>
      <c r="G980" t="s">
        <v>130</v>
      </c>
      <c r="H980" t="s">
        <v>131</v>
      </c>
      <c r="I980" t="s">
        <v>31</v>
      </c>
      <c r="J980">
        <v>3435</v>
      </c>
      <c r="K980" t="s">
        <v>132</v>
      </c>
      <c r="L980">
        <v>1</v>
      </c>
      <c r="M980">
        <v>7.9322999999999997</v>
      </c>
      <c r="P980" t="s">
        <v>33</v>
      </c>
      <c r="Q980" s="1">
        <v>2</v>
      </c>
      <c r="R980" t="s">
        <v>1272</v>
      </c>
      <c r="S980" t="str">
        <f t="shared" si="2"/>
        <v>ok</v>
      </c>
    </row>
    <row r="981" spans="1:19" hidden="1" x14ac:dyDescent="0.3">
      <c r="A981" t="s">
        <v>1024</v>
      </c>
      <c r="B981" t="s">
        <v>1025</v>
      </c>
      <c r="C981" t="s">
        <v>944</v>
      </c>
      <c r="D981">
        <v>18885</v>
      </c>
      <c r="E981" t="s">
        <v>86</v>
      </c>
      <c r="F981" t="s">
        <v>60</v>
      </c>
      <c r="G981" t="s">
        <v>87</v>
      </c>
      <c r="H981" t="s">
        <v>88</v>
      </c>
      <c r="I981" t="s">
        <v>31</v>
      </c>
      <c r="J981">
        <v>596</v>
      </c>
      <c r="K981" t="s">
        <v>89</v>
      </c>
      <c r="N981">
        <v>1</v>
      </c>
      <c r="O981">
        <v>0.48959999999999998</v>
      </c>
      <c r="P981" t="s">
        <v>38</v>
      </c>
      <c r="Q981" s="1">
        <v>2</v>
      </c>
      <c r="R981" t="s">
        <v>1272</v>
      </c>
      <c r="S981" t="str">
        <f t="shared" si="2"/>
        <v>ok</v>
      </c>
    </row>
    <row r="982" spans="1:19" hidden="1" x14ac:dyDescent="0.3">
      <c r="A982" t="s">
        <v>1024</v>
      </c>
      <c r="B982" t="s">
        <v>1025</v>
      </c>
      <c r="C982" t="s">
        <v>944</v>
      </c>
      <c r="D982">
        <v>11918</v>
      </c>
      <c r="E982" t="s">
        <v>133</v>
      </c>
      <c r="F982" t="s">
        <v>60</v>
      </c>
      <c r="G982" t="s">
        <v>134</v>
      </c>
      <c r="H982" t="s">
        <v>135</v>
      </c>
      <c r="I982" t="s">
        <v>25</v>
      </c>
      <c r="J982">
        <v>3604</v>
      </c>
      <c r="K982" t="s">
        <v>136</v>
      </c>
      <c r="L982">
        <v>3</v>
      </c>
      <c r="M982">
        <v>7.2609000000000004</v>
      </c>
      <c r="N982">
        <v>2</v>
      </c>
      <c r="O982">
        <v>0.4728</v>
      </c>
      <c r="P982" t="s">
        <v>27</v>
      </c>
      <c r="Q982" s="1">
        <v>2</v>
      </c>
      <c r="R982" t="s">
        <v>1272</v>
      </c>
      <c r="S982" t="str">
        <f t="shared" si="2"/>
        <v>ok</v>
      </c>
    </row>
    <row r="983" spans="1:19" hidden="1" x14ac:dyDescent="0.3">
      <c r="A983" t="s">
        <v>1024</v>
      </c>
      <c r="B983" t="s">
        <v>1025</v>
      </c>
      <c r="C983" t="s">
        <v>944</v>
      </c>
      <c r="D983">
        <v>17785</v>
      </c>
      <c r="E983" t="s">
        <v>159</v>
      </c>
      <c r="F983" t="s">
        <v>160</v>
      </c>
      <c r="G983" t="s">
        <v>161</v>
      </c>
      <c r="H983" t="s">
        <v>162</v>
      </c>
      <c r="I983" t="s">
        <v>25</v>
      </c>
      <c r="J983">
        <v>935</v>
      </c>
      <c r="K983" t="s">
        <v>163</v>
      </c>
      <c r="L983">
        <v>2</v>
      </c>
      <c r="M983">
        <v>7.4621000000000004</v>
      </c>
      <c r="P983" t="s">
        <v>33</v>
      </c>
      <c r="Q983" s="1">
        <v>1</v>
      </c>
      <c r="R983" t="s">
        <v>1272</v>
      </c>
      <c r="S983" t="str">
        <f t="shared" si="2"/>
        <v>Phù hợp 1 phần</v>
      </c>
    </row>
    <row r="984" spans="1:19" hidden="1" x14ac:dyDescent="0.3">
      <c r="A984" t="s">
        <v>1024</v>
      </c>
      <c r="B984" t="s">
        <v>1025</v>
      </c>
      <c r="C984" t="s">
        <v>944</v>
      </c>
      <c r="D984">
        <v>171</v>
      </c>
      <c r="E984" t="s">
        <v>102</v>
      </c>
      <c r="F984" t="s">
        <v>103</v>
      </c>
      <c r="G984" t="s">
        <v>104</v>
      </c>
      <c r="H984" t="s">
        <v>105</v>
      </c>
      <c r="I984" t="s">
        <v>31</v>
      </c>
      <c r="J984">
        <v>474</v>
      </c>
      <c r="K984" t="s">
        <v>106</v>
      </c>
      <c r="N984">
        <v>3</v>
      </c>
      <c r="O984">
        <v>0.44280000000000003</v>
      </c>
      <c r="P984" t="s">
        <v>38</v>
      </c>
      <c r="Q984" s="1">
        <v>0</v>
      </c>
      <c r="R984" t="s">
        <v>1272</v>
      </c>
      <c r="S984" t="str">
        <f t="shared" si="2"/>
        <v>ko hợp</v>
      </c>
    </row>
    <row r="985" spans="1:19" hidden="1" x14ac:dyDescent="0.3">
      <c r="A985" t="s">
        <v>1024</v>
      </c>
      <c r="B985" t="s">
        <v>1025</v>
      </c>
      <c r="C985" t="s">
        <v>944</v>
      </c>
      <c r="D985">
        <v>19397</v>
      </c>
      <c r="E985" t="s">
        <v>758</v>
      </c>
      <c r="F985" t="s">
        <v>60</v>
      </c>
      <c r="G985" t="s">
        <v>759</v>
      </c>
      <c r="H985" t="s">
        <v>760</v>
      </c>
      <c r="I985" t="s">
        <v>31</v>
      </c>
      <c r="J985">
        <v>528</v>
      </c>
      <c r="K985" t="s">
        <v>761</v>
      </c>
      <c r="L985">
        <v>4</v>
      </c>
      <c r="M985">
        <v>6.66</v>
      </c>
      <c r="P985" t="s">
        <v>33</v>
      </c>
      <c r="Q985" s="1">
        <v>1</v>
      </c>
      <c r="R985" t="s">
        <v>1272</v>
      </c>
      <c r="S985" t="str">
        <f t="shared" si="2"/>
        <v>Phù hợp 1 phần</v>
      </c>
    </row>
    <row r="986" spans="1:19" hidden="1" x14ac:dyDescent="0.3">
      <c r="A986" t="s">
        <v>1024</v>
      </c>
      <c r="B986" t="s">
        <v>1025</v>
      </c>
      <c r="C986" t="s">
        <v>944</v>
      </c>
      <c r="D986">
        <v>20773</v>
      </c>
      <c r="E986" t="s">
        <v>109</v>
      </c>
      <c r="F986" t="s">
        <v>60</v>
      </c>
      <c r="G986" t="s">
        <v>41</v>
      </c>
      <c r="H986" t="s">
        <v>110</v>
      </c>
      <c r="I986" t="s">
        <v>25</v>
      </c>
      <c r="J986">
        <v>1156</v>
      </c>
      <c r="K986" t="s">
        <v>111</v>
      </c>
      <c r="N986">
        <v>4</v>
      </c>
      <c r="O986">
        <v>0.43609999999999999</v>
      </c>
      <c r="P986" t="s">
        <v>38</v>
      </c>
      <c r="Q986" s="1">
        <v>1</v>
      </c>
      <c r="R986" t="s">
        <v>1272</v>
      </c>
      <c r="S986" t="str">
        <f t="shared" si="2"/>
        <v>Phù hợp 1 phần</v>
      </c>
    </row>
    <row r="987" spans="1:19" hidden="1" x14ac:dyDescent="0.3">
      <c r="A987" t="s">
        <v>1024</v>
      </c>
      <c r="B987" t="s">
        <v>1025</v>
      </c>
      <c r="C987" t="s">
        <v>944</v>
      </c>
      <c r="D987">
        <v>2818</v>
      </c>
      <c r="E987" t="s">
        <v>560</v>
      </c>
      <c r="F987" t="s">
        <v>22</v>
      </c>
      <c r="G987" t="s">
        <v>438</v>
      </c>
      <c r="H987" t="s">
        <v>561</v>
      </c>
      <c r="I987" t="s">
        <v>31</v>
      </c>
      <c r="J987">
        <v>2307</v>
      </c>
      <c r="K987" t="s">
        <v>562</v>
      </c>
      <c r="N987">
        <v>5</v>
      </c>
      <c r="O987">
        <v>0.42409999999999998</v>
      </c>
      <c r="P987" t="s">
        <v>38</v>
      </c>
      <c r="Q987" s="1">
        <v>1</v>
      </c>
      <c r="R987" t="s">
        <v>1272</v>
      </c>
      <c r="S987" t="str">
        <f t="shared" si="2"/>
        <v>Phù hợp 1 phần</v>
      </c>
    </row>
    <row r="988" spans="1:19" hidden="1" x14ac:dyDescent="0.3">
      <c r="A988" t="s">
        <v>1024</v>
      </c>
      <c r="B988" t="s">
        <v>1025</v>
      </c>
      <c r="C988" t="s">
        <v>944</v>
      </c>
      <c r="D988">
        <v>14198</v>
      </c>
      <c r="E988" t="s">
        <v>73</v>
      </c>
      <c r="F988" t="s">
        <v>74</v>
      </c>
      <c r="G988" t="s">
        <v>75</v>
      </c>
      <c r="H988" t="s">
        <v>76</v>
      </c>
      <c r="I988" t="s">
        <v>31</v>
      </c>
      <c r="J988">
        <v>377</v>
      </c>
      <c r="K988" t="s">
        <v>77</v>
      </c>
      <c r="L988">
        <v>5</v>
      </c>
      <c r="M988">
        <v>6.6247999999999996</v>
      </c>
      <c r="P988" t="s">
        <v>33</v>
      </c>
      <c r="Q988" s="1">
        <v>0</v>
      </c>
      <c r="R988" t="s">
        <v>1272</v>
      </c>
      <c r="S988" t="str">
        <f t="shared" si="2"/>
        <v>ko hợp</v>
      </c>
    </row>
    <row r="989" spans="1:19" hidden="1" x14ac:dyDescent="0.3">
      <c r="A989" t="s">
        <v>1024</v>
      </c>
      <c r="B989" t="s">
        <v>1025</v>
      </c>
      <c r="C989" t="s">
        <v>944</v>
      </c>
      <c r="D989">
        <v>17058</v>
      </c>
      <c r="E989" t="s">
        <v>925</v>
      </c>
      <c r="F989" t="s">
        <v>60</v>
      </c>
      <c r="G989" t="s">
        <v>926</v>
      </c>
      <c r="H989" t="s">
        <v>927</v>
      </c>
      <c r="I989" t="s">
        <v>31</v>
      </c>
      <c r="J989">
        <v>5613</v>
      </c>
      <c r="K989" t="s">
        <v>928</v>
      </c>
      <c r="N989">
        <v>6</v>
      </c>
      <c r="O989">
        <v>0.42359999999999998</v>
      </c>
      <c r="P989" t="s">
        <v>38</v>
      </c>
      <c r="Q989" s="1">
        <v>2</v>
      </c>
      <c r="R989" t="s">
        <v>1272</v>
      </c>
      <c r="S989" t="str">
        <f t="shared" si="2"/>
        <v>ok</v>
      </c>
    </row>
    <row r="990" spans="1:19" hidden="1" x14ac:dyDescent="0.3">
      <c r="A990" t="s">
        <v>1024</v>
      </c>
      <c r="B990" t="s">
        <v>1025</v>
      </c>
      <c r="C990" t="s">
        <v>944</v>
      </c>
      <c r="D990">
        <v>20472</v>
      </c>
      <c r="E990" t="s">
        <v>487</v>
      </c>
      <c r="F990" t="s">
        <v>60</v>
      </c>
      <c r="G990" t="s">
        <v>488</v>
      </c>
      <c r="H990" t="s">
        <v>489</v>
      </c>
      <c r="I990" t="s">
        <v>25</v>
      </c>
      <c r="J990">
        <v>579</v>
      </c>
      <c r="K990" t="s">
        <v>490</v>
      </c>
      <c r="L990">
        <v>6</v>
      </c>
      <c r="M990">
        <v>6.4953000000000003</v>
      </c>
      <c r="P990" t="s">
        <v>33</v>
      </c>
      <c r="Q990" s="1">
        <v>1</v>
      </c>
      <c r="R990" t="s">
        <v>1272</v>
      </c>
      <c r="S990" t="str">
        <f t="shared" si="2"/>
        <v>Phù hợp 1 phần</v>
      </c>
    </row>
    <row r="991" spans="1:19" hidden="1" x14ac:dyDescent="0.3">
      <c r="A991" t="s">
        <v>1024</v>
      </c>
      <c r="B991" t="s">
        <v>1025</v>
      </c>
      <c r="C991" t="s">
        <v>944</v>
      </c>
      <c r="D991">
        <v>15013</v>
      </c>
      <c r="E991" t="s">
        <v>59</v>
      </c>
      <c r="F991" t="s">
        <v>60</v>
      </c>
      <c r="G991" t="s">
        <v>61</v>
      </c>
      <c r="H991" t="s">
        <v>62</v>
      </c>
      <c r="I991" t="s">
        <v>25</v>
      </c>
      <c r="J991">
        <v>550</v>
      </c>
      <c r="K991" t="s">
        <v>63</v>
      </c>
      <c r="N991">
        <v>7</v>
      </c>
      <c r="O991">
        <v>0.42109999999999997</v>
      </c>
      <c r="P991" t="s">
        <v>38</v>
      </c>
      <c r="Q991" s="1">
        <v>2</v>
      </c>
      <c r="R991" t="s">
        <v>1272</v>
      </c>
      <c r="S991" t="str">
        <f t="shared" si="2"/>
        <v>ok</v>
      </c>
    </row>
    <row r="992" spans="1:19" hidden="1" x14ac:dyDescent="0.3">
      <c r="A992" t="s">
        <v>1024</v>
      </c>
      <c r="B992" t="s">
        <v>1025</v>
      </c>
      <c r="C992" t="s">
        <v>944</v>
      </c>
      <c r="D992">
        <v>19982</v>
      </c>
      <c r="E992" t="s">
        <v>28</v>
      </c>
      <c r="F992" t="s">
        <v>22</v>
      </c>
      <c r="G992" t="s">
        <v>29</v>
      </c>
      <c r="H992" t="s">
        <v>30</v>
      </c>
      <c r="I992" t="s">
        <v>31</v>
      </c>
      <c r="J992">
        <v>543</v>
      </c>
      <c r="K992" t="s">
        <v>32</v>
      </c>
      <c r="L992">
        <v>7</v>
      </c>
      <c r="M992">
        <v>6.3287000000000004</v>
      </c>
      <c r="P992" t="s">
        <v>33</v>
      </c>
      <c r="Q992" s="1">
        <v>0</v>
      </c>
      <c r="R992" t="s">
        <v>1272</v>
      </c>
      <c r="S992" t="str">
        <f t="shared" si="2"/>
        <v>ko hợp</v>
      </c>
    </row>
    <row r="993" spans="1:19" hidden="1" x14ac:dyDescent="0.3">
      <c r="A993" t="s">
        <v>1024</v>
      </c>
      <c r="B993" t="s">
        <v>1025</v>
      </c>
      <c r="C993" t="s">
        <v>944</v>
      </c>
      <c r="D993">
        <v>18937</v>
      </c>
      <c r="E993" t="s">
        <v>68</v>
      </c>
      <c r="F993" t="s">
        <v>69</v>
      </c>
      <c r="G993" t="s">
        <v>70</v>
      </c>
      <c r="H993" t="s">
        <v>71</v>
      </c>
      <c r="I993" t="s">
        <v>31</v>
      </c>
      <c r="J993">
        <v>3317</v>
      </c>
      <c r="K993" t="s">
        <v>72</v>
      </c>
      <c r="L993">
        <v>8</v>
      </c>
      <c r="M993">
        <v>6.1021999999999998</v>
      </c>
      <c r="P993" t="s">
        <v>33</v>
      </c>
      <c r="Q993" s="1">
        <v>1</v>
      </c>
      <c r="R993" t="s">
        <v>1272</v>
      </c>
      <c r="S993" t="str">
        <f t="shared" si="2"/>
        <v>Phù hợp 1 phần</v>
      </c>
    </row>
    <row r="994" spans="1:19" hidden="1" x14ac:dyDescent="0.3">
      <c r="A994" t="s">
        <v>1024</v>
      </c>
      <c r="B994" t="s">
        <v>1025</v>
      </c>
      <c r="C994" t="s">
        <v>944</v>
      </c>
      <c r="D994">
        <v>20353</v>
      </c>
      <c r="E994" t="s">
        <v>164</v>
      </c>
      <c r="F994" t="s">
        <v>165</v>
      </c>
      <c r="G994" t="s">
        <v>41</v>
      </c>
      <c r="H994" t="s">
        <v>166</v>
      </c>
      <c r="I994" t="s">
        <v>31</v>
      </c>
      <c r="J994">
        <v>899</v>
      </c>
      <c r="K994" t="s">
        <v>167</v>
      </c>
      <c r="N994">
        <v>8</v>
      </c>
      <c r="O994">
        <v>0.4148</v>
      </c>
      <c r="P994" t="s">
        <v>38</v>
      </c>
      <c r="Q994" s="1">
        <v>1</v>
      </c>
      <c r="R994" t="s">
        <v>1272</v>
      </c>
      <c r="S994" t="str">
        <f t="shared" si="2"/>
        <v>Phù hợp 1 phần</v>
      </c>
    </row>
    <row r="995" spans="1:19" hidden="1" x14ac:dyDescent="0.3">
      <c r="A995" t="s">
        <v>1024</v>
      </c>
      <c r="B995" t="s">
        <v>1025</v>
      </c>
      <c r="C995" t="s">
        <v>944</v>
      </c>
      <c r="D995">
        <v>18836</v>
      </c>
      <c r="E995" t="s">
        <v>403</v>
      </c>
      <c r="F995" t="s">
        <v>404</v>
      </c>
      <c r="G995" t="s">
        <v>405</v>
      </c>
      <c r="H995" t="s">
        <v>406</v>
      </c>
      <c r="I995" t="s">
        <v>25</v>
      </c>
      <c r="J995">
        <v>1168</v>
      </c>
      <c r="K995" t="s">
        <v>407</v>
      </c>
      <c r="N995">
        <v>9</v>
      </c>
      <c r="O995">
        <v>0.40260000000000001</v>
      </c>
      <c r="P995" t="s">
        <v>38</v>
      </c>
      <c r="Q995" s="1">
        <v>1</v>
      </c>
      <c r="R995" t="s">
        <v>1272</v>
      </c>
      <c r="S995" t="str">
        <f t="shared" si="2"/>
        <v>Phù hợp 1 phần</v>
      </c>
    </row>
    <row r="996" spans="1:19" hidden="1" x14ac:dyDescent="0.3">
      <c r="A996" t="s">
        <v>1024</v>
      </c>
      <c r="B996" t="s">
        <v>1025</v>
      </c>
      <c r="C996" t="s">
        <v>944</v>
      </c>
      <c r="D996">
        <v>20650</v>
      </c>
      <c r="E996" t="s">
        <v>309</v>
      </c>
      <c r="F996" t="s">
        <v>60</v>
      </c>
      <c r="G996" t="s">
        <v>310</v>
      </c>
      <c r="H996" t="s">
        <v>311</v>
      </c>
      <c r="I996" t="s">
        <v>25</v>
      </c>
      <c r="J996">
        <v>878</v>
      </c>
      <c r="K996" t="s">
        <v>312</v>
      </c>
      <c r="L996">
        <v>9</v>
      </c>
      <c r="M996">
        <v>5.6534000000000004</v>
      </c>
      <c r="P996" t="s">
        <v>33</v>
      </c>
      <c r="Q996" s="1">
        <v>1</v>
      </c>
      <c r="R996" t="s">
        <v>1272</v>
      </c>
      <c r="S996" t="str">
        <f t="shared" si="2"/>
        <v>Phù hợp 1 phần</v>
      </c>
    </row>
    <row r="997" spans="1:19" hidden="1" x14ac:dyDescent="0.3">
      <c r="A997" t="s">
        <v>1024</v>
      </c>
      <c r="B997" t="s">
        <v>1025</v>
      </c>
      <c r="C997" t="s">
        <v>944</v>
      </c>
      <c r="D997">
        <v>12188</v>
      </c>
      <c r="E997" t="s">
        <v>680</v>
      </c>
      <c r="F997" t="s">
        <v>668</v>
      </c>
      <c r="G997" t="s">
        <v>681</v>
      </c>
      <c r="H997" t="s">
        <v>682</v>
      </c>
      <c r="I997" t="s">
        <v>31</v>
      </c>
      <c r="J997">
        <v>637</v>
      </c>
      <c r="K997" t="s">
        <v>683</v>
      </c>
      <c r="N997">
        <v>10</v>
      </c>
      <c r="O997">
        <v>0.40229999999999999</v>
      </c>
      <c r="P997" t="s">
        <v>38</v>
      </c>
      <c r="Q997" s="1">
        <v>1</v>
      </c>
      <c r="R997" t="s">
        <v>1272</v>
      </c>
      <c r="S997" t="str">
        <f t="shared" si="2"/>
        <v>Phù hợp 1 phần</v>
      </c>
    </row>
    <row r="998" spans="1:19" hidden="1" x14ac:dyDescent="0.3">
      <c r="A998" t="s">
        <v>1024</v>
      </c>
      <c r="B998" t="s">
        <v>1025</v>
      </c>
      <c r="C998" t="s">
        <v>944</v>
      </c>
      <c r="D998">
        <v>16102</v>
      </c>
      <c r="E998" t="s">
        <v>186</v>
      </c>
      <c r="F998" t="s">
        <v>155</v>
      </c>
      <c r="G998" t="s">
        <v>187</v>
      </c>
      <c r="H998" t="s">
        <v>188</v>
      </c>
      <c r="I998" t="s">
        <v>25</v>
      </c>
      <c r="J998">
        <v>8766</v>
      </c>
      <c r="K998" t="s">
        <v>189</v>
      </c>
      <c r="L998">
        <v>10</v>
      </c>
      <c r="M998">
        <v>5.4725000000000001</v>
      </c>
      <c r="P998" t="s">
        <v>33</v>
      </c>
      <c r="Q998" s="1">
        <v>0</v>
      </c>
      <c r="R998" t="s">
        <v>1272</v>
      </c>
      <c r="S998" t="str">
        <f t="shared" si="2"/>
        <v>ko hợp</v>
      </c>
    </row>
    <row r="999" spans="1:19" hidden="1" x14ac:dyDescent="0.3">
      <c r="A999" t="s">
        <v>1026</v>
      </c>
      <c r="B999" t="s">
        <v>1027</v>
      </c>
      <c r="C999" t="s">
        <v>944</v>
      </c>
      <c r="D999">
        <v>18885</v>
      </c>
      <c r="E999" t="s">
        <v>86</v>
      </c>
      <c r="F999" t="s">
        <v>60</v>
      </c>
      <c r="G999" t="s">
        <v>87</v>
      </c>
      <c r="H999" t="s">
        <v>88</v>
      </c>
      <c r="I999" t="s">
        <v>31</v>
      </c>
      <c r="J999">
        <v>596</v>
      </c>
      <c r="K999" t="s">
        <v>89</v>
      </c>
      <c r="N999">
        <v>1</v>
      </c>
      <c r="O999">
        <v>0.4516</v>
      </c>
      <c r="P999" t="s">
        <v>38</v>
      </c>
      <c r="Q999" s="1">
        <v>1</v>
      </c>
      <c r="R999" t="s">
        <v>1272</v>
      </c>
      <c r="S999" t="str">
        <f t="shared" si="2"/>
        <v>Phù hợp 1 phần</v>
      </c>
    </row>
    <row r="1000" spans="1:19" hidden="1" x14ac:dyDescent="0.3">
      <c r="A1000" t="s">
        <v>1026</v>
      </c>
      <c r="B1000" t="s">
        <v>1027</v>
      </c>
      <c r="C1000" t="s">
        <v>944</v>
      </c>
      <c r="D1000">
        <v>19982</v>
      </c>
      <c r="E1000" t="s">
        <v>28</v>
      </c>
      <c r="F1000" t="s">
        <v>22</v>
      </c>
      <c r="G1000" t="s">
        <v>29</v>
      </c>
      <c r="H1000" t="s">
        <v>30</v>
      </c>
      <c r="I1000" t="s">
        <v>31</v>
      </c>
      <c r="J1000">
        <v>543</v>
      </c>
      <c r="K1000" t="s">
        <v>32</v>
      </c>
      <c r="L1000">
        <v>1</v>
      </c>
      <c r="M1000">
        <v>9.4336000000000002</v>
      </c>
      <c r="P1000" t="s">
        <v>33</v>
      </c>
      <c r="Q1000" s="1">
        <v>1</v>
      </c>
      <c r="R1000" t="s">
        <v>1272</v>
      </c>
      <c r="S1000" t="str">
        <f t="shared" si="2"/>
        <v>Phù hợp 1 phần</v>
      </c>
    </row>
    <row r="1001" spans="1:19" hidden="1" x14ac:dyDescent="0.3">
      <c r="A1001" t="s">
        <v>1026</v>
      </c>
      <c r="B1001" t="s">
        <v>1027</v>
      </c>
      <c r="C1001" t="s">
        <v>944</v>
      </c>
      <c r="D1001">
        <v>15013</v>
      </c>
      <c r="E1001" t="s">
        <v>59</v>
      </c>
      <c r="F1001" t="s">
        <v>60</v>
      </c>
      <c r="G1001" t="s">
        <v>61</v>
      </c>
      <c r="H1001" t="s">
        <v>62</v>
      </c>
      <c r="I1001" t="s">
        <v>25</v>
      </c>
      <c r="J1001">
        <v>550</v>
      </c>
      <c r="K1001" t="s">
        <v>63</v>
      </c>
      <c r="N1001">
        <v>2</v>
      </c>
      <c r="O1001">
        <v>0.42409999999999998</v>
      </c>
      <c r="P1001" t="s">
        <v>38</v>
      </c>
      <c r="Q1001" s="1">
        <v>1</v>
      </c>
      <c r="R1001" t="s">
        <v>1272</v>
      </c>
      <c r="S1001" t="str">
        <f t="shared" si="2"/>
        <v>Phù hợp 1 phần</v>
      </c>
    </row>
    <row r="1002" spans="1:19" hidden="1" x14ac:dyDescent="0.3">
      <c r="A1002" t="s">
        <v>1026</v>
      </c>
      <c r="B1002" t="s">
        <v>1027</v>
      </c>
      <c r="C1002" t="s">
        <v>944</v>
      </c>
      <c r="D1002">
        <v>19317</v>
      </c>
      <c r="E1002" t="s">
        <v>44</v>
      </c>
      <c r="F1002" t="s">
        <v>45</v>
      </c>
      <c r="G1002" t="s">
        <v>46</v>
      </c>
      <c r="H1002" t="s">
        <v>47</v>
      </c>
      <c r="I1002" t="s">
        <v>31</v>
      </c>
      <c r="J1002">
        <v>4168</v>
      </c>
      <c r="K1002" t="s">
        <v>48</v>
      </c>
      <c r="L1002">
        <v>2</v>
      </c>
      <c r="M1002">
        <v>8.4681999999999995</v>
      </c>
      <c r="P1002" t="s">
        <v>33</v>
      </c>
      <c r="Q1002" s="1">
        <v>1</v>
      </c>
      <c r="R1002" t="s">
        <v>1272</v>
      </c>
      <c r="S1002" t="str">
        <f t="shared" si="2"/>
        <v>Phù hợp 1 phần</v>
      </c>
    </row>
    <row r="1003" spans="1:19" hidden="1" x14ac:dyDescent="0.3">
      <c r="A1003" t="s">
        <v>1026</v>
      </c>
      <c r="B1003" t="s">
        <v>1027</v>
      </c>
      <c r="C1003" t="s">
        <v>944</v>
      </c>
      <c r="D1003">
        <v>11918</v>
      </c>
      <c r="E1003" t="s">
        <v>133</v>
      </c>
      <c r="F1003" t="s">
        <v>60</v>
      </c>
      <c r="G1003" t="s">
        <v>134</v>
      </c>
      <c r="H1003" t="s">
        <v>135</v>
      </c>
      <c r="I1003" t="s">
        <v>25</v>
      </c>
      <c r="J1003">
        <v>3604</v>
      </c>
      <c r="K1003" t="s">
        <v>136</v>
      </c>
      <c r="L1003">
        <v>10</v>
      </c>
      <c r="M1003">
        <v>6.6863000000000001</v>
      </c>
      <c r="N1003">
        <v>3</v>
      </c>
      <c r="O1003">
        <v>0.41870000000000002</v>
      </c>
      <c r="P1003" t="s">
        <v>27</v>
      </c>
      <c r="Q1003" s="1">
        <v>1</v>
      </c>
      <c r="R1003" t="s">
        <v>1272</v>
      </c>
      <c r="S1003" t="str">
        <f t="shared" si="2"/>
        <v>Phù hợp 1 phần</v>
      </c>
    </row>
    <row r="1004" spans="1:19" hidden="1" x14ac:dyDescent="0.3">
      <c r="A1004" t="s">
        <v>1026</v>
      </c>
      <c r="B1004" t="s">
        <v>1027</v>
      </c>
      <c r="C1004" t="s">
        <v>944</v>
      </c>
      <c r="D1004">
        <v>18937</v>
      </c>
      <c r="E1004" t="s">
        <v>68</v>
      </c>
      <c r="F1004" t="s">
        <v>69</v>
      </c>
      <c r="G1004" t="s">
        <v>70</v>
      </c>
      <c r="H1004" t="s">
        <v>71</v>
      </c>
      <c r="I1004" t="s">
        <v>31</v>
      </c>
      <c r="J1004">
        <v>3317</v>
      </c>
      <c r="K1004" t="s">
        <v>72</v>
      </c>
      <c r="L1004">
        <v>3</v>
      </c>
      <c r="M1004">
        <v>8.4168000000000003</v>
      </c>
      <c r="P1004" t="s">
        <v>33</v>
      </c>
      <c r="Q1004" s="1">
        <v>1</v>
      </c>
      <c r="R1004" t="s">
        <v>1272</v>
      </c>
      <c r="S1004" t="str">
        <f t="shared" si="2"/>
        <v>Phù hợp 1 phần</v>
      </c>
    </row>
    <row r="1005" spans="1:19" hidden="1" x14ac:dyDescent="0.3">
      <c r="A1005" t="s">
        <v>1026</v>
      </c>
      <c r="B1005" t="s">
        <v>1027</v>
      </c>
      <c r="C1005" t="s">
        <v>944</v>
      </c>
      <c r="D1005">
        <v>12297</v>
      </c>
      <c r="E1005" t="s">
        <v>90</v>
      </c>
      <c r="F1005" t="s">
        <v>22</v>
      </c>
      <c r="G1005" t="s">
        <v>91</v>
      </c>
      <c r="H1005" t="s">
        <v>92</v>
      </c>
      <c r="I1005" t="s">
        <v>31</v>
      </c>
      <c r="J1005">
        <v>4056</v>
      </c>
      <c r="K1005" t="s">
        <v>93</v>
      </c>
      <c r="N1005">
        <v>4</v>
      </c>
      <c r="O1005">
        <v>0.4083</v>
      </c>
      <c r="P1005" t="s">
        <v>38</v>
      </c>
      <c r="Q1005" s="1">
        <v>2</v>
      </c>
      <c r="R1005" t="s">
        <v>1272</v>
      </c>
      <c r="S1005" t="str">
        <f t="shared" si="2"/>
        <v>ok</v>
      </c>
    </row>
    <row r="1006" spans="1:19" hidden="1" x14ac:dyDescent="0.3">
      <c r="A1006" t="s">
        <v>1026</v>
      </c>
      <c r="B1006" t="s">
        <v>1027</v>
      </c>
      <c r="C1006" t="s">
        <v>944</v>
      </c>
      <c r="D1006">
        <v>16838</v>
      </c>
      <c r="E1006" t="s">
        <v>129</v>
      </c>
      <c r="F1006" t="s">
        <v>60</v>
      </c>
      <c r="G1006" t="s">
        <v>130</v>
      </c>
      <c r="H1006" t="s">
        <v>131</v>
      </c>
      <c r="I1006" t="s">
        <v>31</v>
      </c>
      <c r="J1006">
        <v>3435</v>
      </c>
      <c r="K1006" t="s">
        <v>132</v>
      </c>
      <c r="L1006">
        <v>4</v>
      </c>
      <c r="M1006">
        <v>8.2281999999999993</v>
      </c>
      <c r="P1006" t="s">
        <v>33</v>
      </c>
      <c r="Q1006" s="1">
        <v>1</v>
      </c>
      <c r="R1006" t="s">
        <v>1272</v>
      </c>
      <c r="S1006" t="str">
        <f t="shared" si="2"/>
        <v>Phù hợp 1 phần</v>
      </c>
    </row>
    <row r="1007" spans="1:19" hidden="1" x14ac:dyDescent="0.3">
      <c r="A1007" t="s">
        <v>1026</v>
      </c>
      <c r="B1007" t="s">
        <v>1027</v>
      </c>
      <c r="C1007" t="s">
        <v>944</v>
      </c>
      <c r="D1007">
        <v>12188</v>
      </c>
      <c r="E1007" t="s">
        <v>680</v>
      </c>
      <c r="F1007" t="s">
        <v>668</v>
      </c>
      <c r="G1007" t="s">
        <v>681</v>
      </c>
      <c r="H1007" t="s">
        <v>682</v>
      </c>
      <c r="I1007" t="s">
        <v>31</v>
      </c>
      <c r="J1007">
        <v>637</v>
      </c>
      <c r="K1007" t="s">
        <v>683</v>
      </c>
      <c r="N1007">
        <v>5</v>
      </c>
      <c r="O1007">
        <v>0.40720000000000001</v>
      </c>
      <c r="P1007" t="s">
        <v>38</v>
      </c>
      <c r="Q1007" s="1">
        <v>1</v>
      </c>
      <c r="R1007" t="s">
        <v>1272</v>
      </c>
      <c r="S1007" t="str">
        <f t="shared" si="2"/>
        <v>Phù hợp 1 phần</v>
      </c>
    </row>
    <row r="1008" spans="1:19" hidden="1" x14ac:dyDescent="0.3">
      <c r="A1008" t="s">
        <v>1026</v>
      </c>
      <c r="B1008" t="s">
        <v>1027</v>
      </c>
      <c r="C1008" t="s">
        <v>944</v>
      </c>
      <c r="D1008">
        <v>17785</v>
      </c>
      <c r="E1008" t="s">
        <v>159</v>
      </c>
      <c r="F1008" t="s">
        <v>160</v>
      </c>
      <c r="G1008" t="s">
        <v>161</v>
      </c>
      <c r="H1008" t="s">
        <v>162</v>
      </c>
      <c r="I1008" t="s">
        <v>25</v>
      </c>
      <c r="J1008">
        <v>935</v>
      </c>
      <c r="K1008" t="s">
        <v>163</v>
      </c>
      <c r="L1008">
        <v>5</v>
      </c>
      <c r="M1008">
        <v>7.4621000000000004</v>
      </c>
      <c r="P1008" t="s">
        <v>33</v>
      </c>
      <c r="Q1008" s="1">
        <v>1</v>
      </c>
      <c r="R1008" t="s">
        <v>1272</v>
      </c>
      <c r="S1008" t="str">
        <f t="shared" si="2"/>
        <v>Phù hợp 1 phần</v>
      </c>
    </row>
    <row r="1009" spans="1:19" hidden="1" x14ac:dyDescent="0.3">
      <c r="A1009" t="s">
        <v>1026</v>
      </c>
      <c r="B1009" t="s">
        <v>1027</v>
      </c>
      <c r="C1009" t="s">
        <v>944</v>
      </c>
      <c r="D1009">
        <v>9821</v>
      </c>
      <c r="E1009" t="s">
        <v>21</v>
      </c>
      <c r="F1009" t="s">
        <v>22</v>
      </c>
      <c r="G1009" t="s">
        <v>23</v>
      </c>
      <c r="H1009" t="s">
        <v>24</v>
      </c>
      <c r="I1009" t="s">
        <v>25</v>
      </c>
      <c r="J1009">
        <v>998</v>
      </c>
      <c r="K1009" t="s">
        <v>26</v>
      </c>
      <c r="N1009">
        <v>6</v>
      </c>
      <c r="O1009">
        <v>0.40610000000000002</v>
      </c>
      <c r="P1009" t="s">
        <v>38</v>
      </c>
      <c r="Q1009" s="1">
        <v>1</v>
      </c>
      <c r="R1009" t="s">
        <v>1272</v>
      </c>
      <c r="S1009" t="str">
        <f t="shared" si="2"/>
        <v>Phù hợp 1 phần</v>
      </c>
    </row>
    <row r="1010" spans="1:19" hidden="1" x14ac:dyDescent="0.3">
      <c r="A1010" t="s">
        <v>1026</v>
      </c>
      <c r="B1010" t="s">
        <v>1027</v>
      </c>
      <c r="C1010" t="s">
        <v>944</v>
      </c>
      <c r="D1010">
        <v>17419</v>
      </c>
      <c r="E1010" t="s">
        <v>821</v>
      </c>
      <c r="F1010" t="s">
        <v>22</v>
      </c>
      <c r="G1010" t="s">
        <v>822</v>
      </c>
      <c r="H1010" t="s">
        <v>823</v>
      </c>
      <c r="I1010" t="s">
        <v>31</v>
      </c>
      <c r="J1010">
        <v>1103</v>
      </c>
      <c r="K1010" t="s">
        <v>824</v>
      </c>
      <c r="L1010">
        <v>6</v>
      </c>
      <c r="M1010">
        <v>7.3945999999999996</v>
      </c>
      <c r="P1010" t="s">
        <v>33</v>
      </c>
      <c r="Q1010" s="1">
        <v>2</v>
      </c>
      <c r="R1010" t="s">
        <v>1272</v>
      </c>
      <c r="S1010" t="str">
        <f t="shared" si="2"/>
        <v>ok</v>
      </c>
    </row>
    <row r="1011" spans="1:19" hidden="1" x14ac:dyDescent="0.3">
      <c r="A1011" t="s">
        <v>1026</v>
      </c>
      <c r="B1011" t="s">
        <v>1027</v>
      </c>
      <c r="C1011" t="s">
        <v>944</v>
      </c>
      <c r="D1011">
        <v>14198</v>
      </c>
      <c r="E1011" t="s">
        <v>73</v>
      </c>
      <c r="F1011" t="s">
        <v>74</v>
      </c>
      <c r="G1011" t="s">
        <v>75</v>
      </c>
      <c r="H1011" t="s">
        <v>76</v>
      </c>
      <c r="I1011" t="s">
        <v>31</v>
      </c>
      <c r="J1011">
        <v>377</v>
      </c>
      <c r="K1011" t="s">
        <v>77</v>
      </c>
      <c r="L1011">
        <v>7</v>
      </c>
      <c r="M1011">
        <v>7.2625000000000002</v>
      </c>
      <c r="P1011" t="s">
        <v>33</v>
      </c>
      <c r="Q1011" s="1">
        <v>0</v>
      </c>
      <c r="R1011" t="s">
        <v>1272</v>
      </c>
      <c r="S1011" t="str">
        <f t="shared" si="2"/>
        <v>ko hợp</v>
      </c>
    </row>
    <row r="1012" spans="1:19" hidden="1" x14ac:dyDescent="0.3">
      <c r="A1012" t="s">
        <v>1026</v>
      </c>
      <c r="B1012" t="s">
        <v>1027</v>
      </c>
      <c r="C1012" t="s">
        <v>944</v>
      </c>
      <c r="D1012">
        <v>17519</v>
      </c>
      <c r="E1012" t="s">
        <v>34</v>
      </c>
      <c r="F1012" t="s">
        <v>22</v>
      </c>
      <c r="G1012" t="s">
        <v>35</v>
      </c>
      <c r="H1012" t="s">
        <v>36</v>
      </c>
      <c r="I1012" t="s">
        <v>25</v>
      </c>
      <c r="J1012">
        <v>2690</v>
      </c>
      <c r="K1012" t="s">
        <v>37</v>
      </c>
      <c r="N1012">
        <v>7</v>
      </c>
      <c r="O1012">
        <v>0.40129999999999999</v>
      </c>
      <c r="P1012" t="s">
        <v>38</v>
      </c>
      <c r="Q1012" s="1">
        <v>1</v>
      </c>
      <c r="R1012" t="s">
        <v>1272</v>
      </c>
      <c r="S1012" t="str">
        <f t="shared" si="2"/>
        <v>Phù hợp 1 phần</v>
      </c>
    </row>
    <row r="1013" spans="1:19" hidden="1" x14ac:dyDescent="0.3">
      <c r="A1013" t="s">
        <v>1026</v>
      </c>
      <c r="B1013" t="s">
        <v>1027</v>
      </c>
      <c r="C1013" t="s">
        <v>944</v>
      </c>
      <c r="D1013">
        <v>14007</v>
      </c>
      <c r="E1013" t="s">
        <v>929</v>
      </c>
      <c r="F1013" t="s">
        <v>22</v>
      </c>
      <c r="G1013" t="s">
        <v>930</v>
      </c>
      <c r="H1013" t="s">
        <v>931</v>
      </c>
      <c r="I1013" t="s">
        <v>31</v>
      </c>
      <c r="J1013">
        <v>570</v>
      </c>
      <c r="K1013" t="s">
        <v>932</v>
      </c>
      <c r="L1013">
        <v>8</v>
      </c>
      <c r="M1013">
        <v>6.9943999999999997</v>
      </c>
      <c r="P1013" t="s">
        <v>33</v>
      </c>
      <c r="Q1013" s="1">
        <v>1</v>
      </c>
      <c r="R1013" t="s">
        <v>1272</v>
      </c>
      <c r="S1013" t="str">
        <f t="shared" si="2"/>
        <v>Phù hợp 1 phần</v>
      </c>
    </row>
    <row r="1014" spans="1:19" hidden="1" x14ac:dyDescent="0.3">
      <c r="A1014" t="s">
        <v>1026</v>
      </c>
      <c r="B1014" t="s">
        <v>1027</v>
      </c>
      <c r="C1014" t="s">
        <v>944</v>
      </c>
      <c r="D1014">
        <v>20773</v>
      </c>
      <c r="E1014" t="s">
        <v>109</v>
      </c>
      <c r="F1014" t="s">
        <v>60</v>
      </c>
      <c r="G1014" t="s">
        <v>41</v>
      </c>
      <c r="H1014" t="s">
        <v>110</v>
      </c>
      <c r="I1014" t="s">
        <v>25</v>
      </c>
      <c r="J1014">
        <v>1156</v>
      </c>
      <c r="K1014" t="s">
        <v>111</v>
      </c>
      <c r="N1014">
        <v>8</v>
      </c>
      <c r="O1014">
        <v>0.40060000000000001</v>
      </c>
      <c r="P1014" t="s">
        <v>38</v>
      </c>
      <c r="Q1014" s="1">
        <v>0</v>
      </c>
      <c r="R1014" t="s">
        <v>1272</v>
      </c>
      <c r="S1014" t="str">
        <f t="shared" si="2"/>
        <v>ko hợp</v>
      </c>
    </row>
    <row r="1015" spans="1:19" hidden="1" x14ac:dyDescent="0.3">
      <c r="A1015" t="s">
        <v>1026</v>
      </c>
      <c r="B1015" t="s">
        <v>1027</v>
      </c>
      <c r="C1015" t="s">
        <v>944</v>
      </c>
      <c r="D1015">
        <v>16859</v>
      </c>
      <c r="E1015" t="s">
        <v>783</v>
      </c>
      <c r="F1015" t="s">
        <v>22</v>
      </c>
      <c r="G1015" t="s">
        <v>784</v>
      </c>
      <c r="H1015" t="s">
        <v>785</v>
      </c>
      <c r="I1015" t="s">
        <v>31</v>
      </c>
      <c r="J1015">
        <v>890</v>
      </c>
      <c r="K1015" t="s">
        <v>786</v>
      </c>
      <c r="N1015">
        <v>9</v>
      </c>
      <c r="O1015">
        <v>0.40039999999999998</v>
      </c>
      <c r="P1015" t="s">
        <v>38</v>
      </c>
      <c r="Q1015" s="1">
        <v>1</v>
      </c>
      <c r="R1015" t="s">
        <v>1272</v>
      </c>
      <c r="S1015" t="str">
        <f t="shared" si="2"/>
        <v>Phù hợp 1 phần</v>
      </c>
    </row>
    <row r="1016" spans="1:19" hidden="1" x14ac:dyDescent="0.3">
      <c r="A1016" t="s">
        <v>1026</v>
      </c>
      <c r="B1016" t="s">
        <v>1027</v>
      </c>
      <c r="C1016" t="s">
        <v>944</v>
      </c>
      <c r="D1016">
        <v>19397</v>
      </c>
      <c r="E1016" t="s">
        <v>758</v>
      </c>
      <c r="F1016" t="s">
        <v>60</v>
      </c>
      <c r="G1016" t="s">
        <v>759</v>
      </c>
      <c r="H1016" t="s">
        <v>760</v>
      </c>
      <c r="I1016" t="s">
        <v>31</v>
      </c>
      <c r="J1016">
        <v>528</v>
      </c>
      <c r="K1016" t="s">
        <v>761</v>
      </c>
      <c r="L1016">
        <v>9</v>
      </c>
      <c r="M1016">
        <v>6.7366999999999999</v>
      </c>
      <c r="P1016" t="s">
        <v>33</v>
      </c>
      <c r="Q1016" s="1">
        <v>0</v>
      </c>
      <c r="R1016" t="s">
        <v>1272</v>
      </c>
      <c r="S1016" t="str">
        <f t="shared" si="2"/>
        <v>ko hợp</v>
      </c>
    </row>
    <row r="1017" spans="1:19" hidden="1" x14ac:dyDescent="0.3">
      <c r="A1017" t="s">
        <v>1026</v>
      </c>
      <c r="B1017" t="s">
        <v>1027</v>
      </c>
      <c r="C1017" t="s">
        <v>944</v>
      </c>
      <c r="D1017">
        <v>20259</v>
      </c>
      <c r="E1017" t="s">
        <v>49</v>
      </c>
      <c r="F1017" t="s">
        <v>50</v>
      </c>
      <c r="G1017" t="s">
        <v>51</v>
      </c>
      <c r="H1017" t="s">
        <v>52</v>
      </c>
      <c r="I1017" t="s">
        <v>25</v>
      </c>
      <c r="J1017">
        <v>313</v>
      </c>
      <c r="K1017" t="s">
        <v>53</v>
      </c>
      <c r="N1017">
        <v>10</v>
      </c>
      <c r="O1017">
        <v>0.39860000000000001</v>
      </c>
      <c r="P1017" t="s">
        <v>38</v>
      </c>
      <c r="Q1017" s="1">
        <v>1</v>
      </c>
      <c r="R1017" t="s">
        <v>1272</v>
      </c>
      <c r="S1017" t="str">
        <f t="shared" si="2"/>
        <v>Phù hợp 1 phần</v>
      </c>
    </row>
    <row r="1018" spans="1:19" hidden="1" x14ac:dyDescent="0.3">
      <c r="A1018" t="s">
        <v>1028</v>
      </c>
      <c r="B1018" t="s">
        <v>1029</v>
      </c>
      <c r="C1018" t="s">
        <v>944</v>
      </c>
      <c r="D1018">
        <v>16145</v>
      </c>
      <c r="E1018" t="s">
        <v>182</v>
      </c>
      <c r="F1018" t="s">
        <v>155</v>
      </c>
      <c r="G1018" t="s">
        <v>183</v>
      </c>
      <c r="H1018" t="s">
        <v>184</v>
      </c>
      <c r="I1018" t="s">
        <v>31</v>
      </c>
      <c r="J1018">
        <v>2447</v>
      </c>
      <c r="K1018" t="s">
        <v>185</v>
      </c>
      <c r="L1018">
        <v>1</v>
      </c>
      <c r="M1018">
        <v>11.148300000000001</v>
      </c>
      <c r="N1018">
        <v>1</v>
      </c>
      <c r="O1018">
        <v>0.42849999999999999</v>
      </c>
      <c r="P1018" t="s">
        <v>27</v>
      </c>
      <c r="Q1018" s="1">
        <v>1</v>
      </c>
      <c r="R1018" t="s">
        <v>1272</v>
      </c>
      <c r="S1018" t="str">
        <f t="shared" si="2"/>
        <v>Phù hợp 1 phần</v>
      </c>
    </row>
    <row r="1019" spans="1:19" hidden="1" x14ac:dyDescent="0.3">
      <c r="A1019" t="s">
        <v>1028</v>
      </c>
      <c r="B1019" t="s">
        <v>1029</v>
      </c>
      <c r="C1019" t="s">
        <v>944</v>
      </c>
      <c r="D1019">
        <v>15839</v>
      </c>
      <c r="E1019" t="s">
        <v>154</v>
      </c>
      <c r="F1019" t="s">
        <v>155</v>
      </c>
      <c r="G1019" t="s">
        <v>156</v>
      </c>
      <c r="H1019" t="s">
        <v>157</v>
      </c>
      <c r="I1019" t="s">
        <v>25</v>
      </c>
      <c r="J1019">
        <v>298</v>
      </c>
      <c r="K1019" t="s">
        <v>158</v>
      </c>
      <c r="L1019">
        <v>2</v>
      </c>
      <c r="M1019">
        <v>10.446300000000001</v>
      </c>
      <c r="P1019" t="s">
        <v>33</v>
      </c>
      <c r="Q1019" s="1">
        <v>2</v>
      </c>
      <c r="R1019" t="s">
        <v>1272</v>
      </c>
      <c r="S1019" t="str">
        <f t="shared" si="2"/>
        <v>ok</v>
      </c>
    </row>
    <row r="1020" spans="1:19" hidden="1" x14ac:dyDescent="0.3">
      <c r="A1020" t="s">
        <v>1028</v>
      </c>
      <c r="B1020" t="s">
        <v>1029</v>
      </c>
      <c r="C1020" t="s">
        <v>944</v>
      </c>
      <c r="D1020">
        <v>20595</v>
      </c>
      <c r="E1020" t="s">
        <v>190</v>
      </c>
      <c r="F1020" t="s">
        <v>191</v>
      </c>
      <c r="G1020" t="s">
        <v>192</v>
      </c>
      <c r="H1020" t="s">
        <v>193</v>
      </c>
      <c r="I1020" t="s">
        <v>25</v>
      </c>
      <c r="J1020">
        <v>2941</v>
      </c>
      <c r="K1020" t="s">
        <v>194</v>
      </c>
      <c r="N1020">
        <v>2</v>
      </c>
      <c r="O1020">
        <v>0.42549999999999999</v>
      </c>
      <c r="P1020" t="s">
        <v>38</v>
      </c>
      <c r="Q1020" s="1">
        <v>1</v>
      </c>
      <c r="R1020" t="s">
        <v>1272</v>
      </c>
      <c r="S1020" t="str">
        <f t="shared" si="2"/>
        <v>Phù hợp 1 phần</v>
      </c>
    </row>
    <row r="1021" spans="1:19" hidden="1" x14ac:dyDescent="0.3">
      <c r="A1021" t="s">
        <v>1028</v>
      </c>
      <c r="B1021" t="s">
        <v>1029</v>
      </c>
      <c r="C1021" t="s">
        <v>944</v>
      </c>
      <c r="D1021">
        <v>16756</v>
      </c>
      <c r="E1021" t="s">
        <v>764</v>
      </c>
      <c r="F1021" t="s">
        <v>155</v>
      </c>
      <c r="G1021" t="s">
        <v>235</v>
      </c>
      <c r="H1021" t="s">
        <v>765</v>
      </c>
      <c r="I1021" t="s">
        <v>25</v>
      </c>
      <c r="J1021">
        <v>344</v>
      </c>
      <c r="K1021" t="s">
        <v>766</v>
      </c>
      <c r="L1021">
        <v>3</v>
      </c>
      <c r="M1021">
        <v>10.0418</v>
      </c>
      <c r="N1021">
        <v>9</v>
      </c>
      <c r="O1021">
        <v>0.37840000000000001</v>
      </c>
      <c r="P1021" t="s">
        <v>27</v>
      </c>
      <c r="Q1021" s="1">
        <v>2</v>
      </c>
      <c r="R1021" t="s">
        <v>1272</v>
      </c>
      <c r="S1021" t="str">
        <f t="shared" si="2"/>
        <v>ok</v>
      </c>
    </row>
    <row r="1022" spans="1:19" hidden="1" x14ac:dyDescent="0.3">
      <c r="A1022" t="s">
        <v>1028</v>
      </c>
      <c r="B1022" t="s">
        <v>1029</v>
      </c>
      <c r="C1022" t="s">
        <v>944</v>
      </c>
      <c r="D1022">
        <v>20532</v>
      </c>
      <c r="E1022" t="s">
        <v>221</v>
      </c>
      <c r="F1022" t="s">
        <v>222</v>
      </c>
      <c r="G1022" t="s">
        <v>41</v>
      </c>
      <c r="H1022" t="s">
        <v>223</v>
      </c>
      <c r="I1022" t="s">
        <v>25</v>
      </c>
      <c r="J1022">
        <v>1105</v>
      </c>
      <c r="K1022" t="s">
        <v>224</v>
      </c>
      <c r="N1022">
        <v>3</v>
      </c>
      <c r="O1022">
        <v>0.42409999999999998</v>
      </c>
      <c r="P1022" t="s">
        <v>38</v>
      </c>
      <c r="Q1022" s="1">
        <v>1</v>
      </c>
      <c r="R1022" t="s">
        <v>1272</v>
      </c>
      <c r="S1022" t="str">
        <f t="shared" si="2"/>
        <v>Phù hợp 1 phần</v>
      </c>
    </row>
    <row r="1023" spans="1:19" hidden="1" x14ac:dyDescent="0.3">
      <c r="A1023" t="s">
        <v>1028</v>
      </c>
      <c r="B1023" t="s">
        <v>1029</v>
      </c>
      <c r="C1023" t="s">
        <v>944</v>
      </c>
      <c r="D1023">
        <v>19710</v>
      </c>
      <c r="E1023" t="s">
        <v>199</v>
      </c>
      <c r="F1023" t="s">
        <v>200</v>
      </c>
      <c r="G1023" t="s">
        <v>201</v>
      </c>
      <c r="H1023" t="s">
        <v>202</v>
      </c>
      <c r="I1023" t="s">
        <v>31</v>
      </c>
      <c r="J1023">
        <v>262</v>
      </c>
      <c r="K1023" t="s">
        <v>203</v>
      </c>
      <c r="N1023">
        <v>4</v>
      </c>
      <c r="O1023">
        <v>0.4239</v>
      </c>
      <c r="P1023" t="s">
        <v>38</v>
      </c>
      <c r="Q1023" s="1">
        <v>1</v>
      </c>
      <c r="R1023" t="s">
        <v>1272</v>
      </c>
      <c r="S1023" t="str">
        <f t="shared" si="2"/>
        <v>Phù hợp 1 phần</v>
      </c>
    </row>
    <row r="1024" spans="1:19" hidden="1" x14ac:dyDescent="0.3">
      <c r="A1024" t="s">
        <v>1028</v>
      </c>
      <c r="B1024" t="s">
        <v>1029</v>
      </c>
      <c r="C1024" t="s">
        <v>944</v>
      </c>
      <c r="D1024">
        <v>20777</v>
      </c>
      <c r="E1024" t="s">
        <v>174</v>
      </c>
      <c r="F1024" t="s">
        <v>155</v>
      </c>
      <c r="G1024" t="s">
        <v>175</v>
      </c>
      <c r="H1024" t="s">
        <v>176</v>
      </c>
      <c r="I1024" t="s">
        <v>31</v>
      </c>
      <c r="J1024">
        <v>384</v>
      </c>
      <c r="K1024" t="s">
        <v>177</v>
      </c>
      <c r="L1024">
        <v>4</v>
      </c>
      <c r="M1024">
        <v>8.3310999999999993</v>
      </c>
      <c r="N1024">
        <v>6</v>
      </c>
      <c r="O1024">
        <v>0.40589999999999998</v>
      </c>
      <c r="P1024" t="s">
        <v>27</v>
      </c>
      <c r="Q1024" s="1">
        <v>1</v>
      </c>
      <c r="R1024" t="s">
        <v>1272</v>
      </c>
      <c r="S1024" t="str">
        <f t="shared" si="2"/>
        <v>Phù hợp 1 phần</v>
      </c>
    </row>
    <row r="1025" spans="1:19" hidden="1" x14ac:dyDescent="0.3">
      <c r="A1025" t="s">
        <v>1028</v>
      </c>
      <c r="B1025" t="s">
        <v>1029</v>
      </c>
      <c r="C1025" t="s">
        <v>944</v>
      </c>
      <c r="D1025">
        <v>3280</v>
      </c>
      <c r="E1025" t="s">
        <v>178</v>
      </c>
      <c r="F1025" t="s">
        <v>155</v>
      </c>
      <c r="G1025" t="s">
        <v>179</v>
      </c>
      <c r="H1025" t="s">
        <v>180</v>
      </c>
      <c r="I1025" t="s">
        <v>25</v>
      </c>
      <c r="J1025">
        <v>927</v>
      </c>
      <c r="K1025" t="s">
        <v>181</v>
      </c>
      <c r="N1025">
        <v>5</v>
      </c>
      <c r="O1025">
        <v>0.41789999999999999</v>
      </c>
      <c r="P1025" t="s">
        <v>38</v>
      </c>
      <c r="Q1025" s="1">
        <v>1</v>
      </c>
      <c r="R1025" t="s">
        <v>1272</v>
      </c>
      <c r="S1025" t="str">
        <f t="shared" si="2"/>
        <v>Phù hợp 1 phần</v>
      </c>
    </row>
    <row r="1026" spans="1:19" hidden="1" x14ac:dyDescent="0.3">
      <c r="A1026" t="s">
        <v>1028</v>
      </c>
      <c r="B1026" t="s">
        <v>1029</v>
      </c>
      <c r="C1026" t="s">
        <v>944</v>
      </c>
      <c r="D1026">
        <v>19509</v>
      </c>
      <c r="E1026" t="s">
        <v>876</v>
      </c>
      <c r="F1026" t="s">
        <v>155</v>
      </c>
      <c r="G1026" t="s">
        <v>877</v>
      </c>
      <c r="H1026" t="s">
        <v>878</v>
      </c>
      <c r="I1026" t="s">
        <v>31</v>
      </c>
      <c r="J1026">
        <v>201</v>
      </c>
      <c r="K1026" t="s">
        <v>879</v>
      </c>
      <c r="L1026">
        <v>5</v>
      </c>
      <c r="M1026">
        <v>8.0624000000000002</v>
      </c>
      <c r="P1026" t="s">
        <v>33</v>
      </c>
      <c r="Q1026" s="1">
        <v>2</v>
      </c>
      <c r="R1026" t="s">
        <v>1272</v>
      </c>
      <c r="S1026" t="str">
        <f t="shared" si="2"/>
        <v>ok</v>
      </c>
    </row>
    <row r="1027" spans="1:19" hidden="1" x14ac:dyDescent="0.3">
      <c r="A1027" t="s">
        <v>1028</v>
      </c>
      <c r="B1027" t="s">
        <v>1029</v>
      </c>
      <c r="C1027" t="s">
        <v>944</v>
      </c>
      <c r="D1027">
        <v>16102</v>
      </c>
      <c r="E1027" t="s">
        <v>186</v>
      </c>
      <c r="F1027" t="s">
        <v>155</v>
      </c>
      <c r="G1027" t="s">
        <v>187</v>
      </c>
      <c r="H1027" t="s">
        <v>188</v>
      </c>
      <c r="I1027" t="s">
        <v>25</v>
      </c>
      <c r="J1027">
        <v>8766</v>
      </c>
      <c r="K1027" t="s">
        <v>189</v>
      </c>
      <c r="L1027">
        <v>6</v>
      </c>
      <c r="M1027">
        <v>7.9810999999999996</v>
      </c>
      <c r="P1027" t="s">
        <v>33</v>
      </c>
      <c r="Q1027" s="1">
        <v>1</v>
      </c>
      <c r="R1027" t="s">
        <v>1272</v>
      </c>
      <c r="S1027" t="str">
        <f t="shared" si="2"/>
        <v>Phù hợp 1 phần</v>
      </c>
    </row>
    <row r="1028" spans="1:19" hidden="1" x14ac:dyDescent="0.3">
      <c r="A1028" t="s">
        <v>1028</v>
      </c>
      <c r="B1028" t="s">
        <v>1029</v>
      </c>
      <c r="C1028" t="s">
        <v>944</v>
      </c>
      <c r="D1028">
        <v>17601</v>
      </c>
      <c r="E1028" t="s">
        <v>767</v>
      </c>
      <c r="F1028" t="s">
        <v>155</v>
      </c>
      <c r="G1028" t="s">
        <v>768</v>
      </c>
      <c r="H1028" t="s">
        <v>769</v>
      </c>
      <c r="I1028" t="s">
        <v>31</v>
      </c>
      <c r="J1028">
        <v>594</v>
      </c>
      <c r="K1028" t="s">
        <v>770</v>
      </c>
      <c r="L1028">
        <v>7</v>
      </c>
      <c r="M1028">
        <v>7.8166000000000002</v>
      </c>
      <c r="N1028">
        <v>7</v>
      </c>
      <c r="O1028">
        <v>0.4032</v>
      </c>
      <c r="P1028" t="s">
        <v>27</v>
      </c>
      <c r="Q1028" s="1">
        <v>2</v>
      </c>
      <c r="R1028" t="s">
        <v>1272</v>
      </c>
      <c r="S1028" t="str">
        <f t="shared" si="2"/>
        <v>ok</v>
      </c>
    </row>
    <row r="1029" spans="1:19" hidden="1" x14ac:dyDescent="0.3">
      <c r="A1029" t="s">
        <v>1028</v>
      </c>
      <c r="B1029" t="s">
        <v>1029</v>
      </c>
      <c r="C1029" t="s">
        <v>944</v>
      </c>
      <c r="D1029">
        <v>16333</v>
      </c>
      <c r="E1029" t="s">
        <v>956</v>
      </c>
      <c r="F1029" t="s">
        <v>155</v>
      </c>
      <c r="G1029" t="s">
        <v>156</v>
      </c>
      <c r="H1029" t="s">
        <v>957</v>
      </c>
      <c r="I1029" t="s">
        <v>31</v>
      </c>
      <c r="J1029">
        <v>753</v>
      </c>
      <c r="K1029" t="s">
        <v>958</v>
      </c>
      <c r="L1029">
        <v>10</v>
      </c>
      <c r="M1029">
        <v>7.5633999999999997</v>
      </c>
      <c r="N1029">
        <v>8</v>
      </c>
      <c r="O1029">
        <v>0.38059999999999999</v>
      </c>
      <c r="P1029" t="s">
        <v>27</v>
      </c>
      <c r="Q1029" s="1">
        <v>2</v>
      </c>
      <c r="R1029" t="s">
        <v>1272</v>
      </c>
      <c r="S1029" t="str">
        <f t="shared" si="2"/>
        <v>ok</v>
      </c>
    </row>
    <row r="1030" spans="1:19" hidden="1" x14ac:dyDescent="0.3">
      <c r="A1030" t="s">
        <v>1028</v>
      </c>
      <c r="B1030" t="s">
        <v>1029</v>
      </c>
      <c r="C1030" t="s">
        <v>944</v>
      </c>
      <c r="D1030">
        <v>17650</v>
      </c>
      <c r="E1030" t="s">
        <v>195</v>
      </c>
      <c r="F1030" t="s">
        <v>155</v>
      </c>
      <c r="G1030" t="s">
        <v>196</v>
      </c>
      <c r="H1030" t="s">
        <v>197</v>
      </c>
      <c r="I1030" t="s">
        <v>25</v>
      </c>
      <c r="J1030">
        <v>700</v>
      </c>
      <c r="K1030" t="s">
        <v>198</v>
      </c>
      <c r="L1030">
        <v>8</v>
      </c>
      <c r="M1030">
        <v>7.7381000000000002</v>
      </c>
      <c r="P1030" t="s">
        <v>33</v>
      </c>
      <c r="Q1030" s="1">
        <v>1</v>
      </c>
      <c r="R1030" t="s">
        <v>1272</v>
      </c>
      <c r="S1030" t="str">
        <f t="shared" si="2"/>
        <v>Phù hợp 1 phần</v>
      </c>
    </row>
    <row r="1031" spans="1:19" hidden="1" x14ac:dyDescent="0.3">
      <c r="A1031" t="s">
        <v>1028</v>
      </c>
      <c r="B1031" t="s">
        <v>1029</v>
      </c>
      <c r="C1031" t="s">
        <v>944</v>
      </c>
      <c r="D1031">
        <v>19838</v>
      </c>
      <c r="E1031" t="s">
        <v>1030</v>
      </c>
      <c r="F1031" t="s">
        <v>155</v>
      </c>
      <c r="G1031" t="s">
        <v>1031</v>
      </c>
      <c r="H1031" t="s">
        <v>1032</v>
      </c>
      <c r="I1031" t="s">
        <v>25</v>
      </c>
      <c r="J1031">
        <v>121</v>
      </c>
      <c r="K1031" t="s">
        <v>1033</v>
      </c>
      <c r="L1031">
        <v>9</v>
      </c>
      <c r="M1031">
        <v>7.6093000000000002</v>
      </c>
      <c r="P1031" t="s">
        <v>33</v>
      </c>
      <c r="Q1031" s="1">
        <v>1</v>
      </c>
      <c r="R1031" t="s">
        <v>1272</v>
      </c>
      <c r="S1031" t="str">
        <f t="shared" si="2"/>
        <v>Phù hợp 1 phần</v>
      </c>
    </row>
    <row r="1032" spans="1:19" hidden="1" x14ac:dyDescent="0.3">
      <c r="A1032" t="s">
        <v>1028</v>
      </c>
      <c r="B1032" t="s">
        <v>1029</v>
      </c>
      <c r="C1032" t="s">
        <v>944</v>
      </c>
      <c r="D1032">
        <v>20259</v>
      </c>
      <c r="E1032" t="s">
        <v>49</v>
      </c>
      <c r="F1032" t="s">
        <v>50</v>
      </c>
      <c r="G1032" t="s">
        <v>51</v>
      </c>
      <c r="H1032" t="s">
        <v>52</v>
      </c>
      <c r="I1032" t="s">
        <v>25</v>
      </c>
      <c r="J1032">
        <v>313</v>
      </c>
      <c r="K1032" t="s">
        <v>53</v>
      </c>
      <c r="N1032">
        <v>10</v>
      </c>
      <c r="O1032">
        <v>0.37640000000000001</v>
      </c>
      <c r="P1032" t="s">
        <v>38</v>
      </c>
      <c r="Q1032" s="1">
        <v>0</v>
      </c>
      <c r="R1032" t="s">
        <v>1272</v>
      </c>
      <c r="S1032" t="str">
        <f t="shared" si="2"/>
        <v>ko hợp</v>
      </c>
    </row>
    <row r="1033" spans="1:19" hidden="1" x14ac:dyDescent="0.3">
      <c r="A1033" t="s">
        <v>1034</v>
      </c>
      <c r="B1033" t="s">
        <v>1035</v>
      </c>
      <c r="C1033" t="s">
        <v>944</v>
      </c>
      <c r="D1033">
        <v>16145</v>
      </c>
      <c r="E1033" t="s">
        <v>182</v>
      </c>
      <c r="F1033" t="s">
        <v>155</v>
      </c>
      <c r="G1033" t="s">
        <v>183</v>
      </c>
      <c r="H1033" t="s">
        <v>184</v>
      </c>
      <c r="I1033" t="s">
        <v>31</v>
      </c>
      <c r="J1033">
        <v>2447</v>
      </c>
      <c r="K1033" t="s">
        <v>185</v>
      </c>
      <c r="L1033">
        <v>1</v>
      </c>
      <c r="M1033">
        <v>7.4823000000000004</v>
      </c>
      <c r="P1033" t="s">
        <v>33</v>
      </c>
      <c r="Q1033" s="1">
        <v>0</v>
      </c>
      <c r="R1033" t="s">
        <v>1272</v>
      </c>
      <c r="S1033" t="str">
        <f t="shared" si="2"/>
        <v>ko hợp</v>
      </c>
    </row>
    <row r="1034" spans="1:19" hidden="1" x14ac:dyDescent="0.3">
      <c r="A1034" t="s">
        <v>1034</v>
      </c>
      <c r="B1034" t="s">
        <v>1035</v>
      </c>
      <c r="C1034" t="s">
        <v>944</v>
      </c>
      <c r="D1034">
        <v>20353</v>
      </c>
      <c r="E1034" t="s">
        <v>164</v>
      </c>
      <c r="F1034" t="s">
        <v>165</v>
      </c>
      <c r="G1034" t="s">
        <v>41</v>
      </c>
      <c r="H1034" t="s">
        <v>166</v>
      </c>
      <c r="I1034" t="s">
        <v>31</v>
      </c>
      <c r="J1034">
        <v>899</v>
      </c>
      <c r="K1034" t="s">
        <v>167</v>
      </c>
      <c r="N1034">
        <v>1</v>
      </c>
      <c r="O1034">
        <v>0.4556</v>
      </c>
      <c r="P1034" t="s">
        <v>38</v>
      </c>
      <c r="Q1034" s="1">
        <v>1</v>
      </c>
      <c r="R1034" t="s">
        <v>1272</v>
      </c>
      <c r="S1034" t="str">
        <f t="shared" si="2"/>
        <v>Phù hợp 1 phần</v>
      </c>
    </row>
    <row r="1035" spans="1:19" hidden="1" x14ac:dyDescent="0.3">
      <c r="A1035" t="s">
        <v>1034</v>
      </c>
      <c r="B1035" t="s">
        <v>1035</v>
      </c>
      <c r="C1035" t="s">
        <v>944</v>
      </c>
      <c r="D1035">
        <v>13481</v>
      </c>
      <c r="E1035" t="s">
        <v>270</v>
      </c>
      <c r="F1035" t="s">
        <v>55</v>
      </c>
      <c r="G1035" t="s">
        <v>271</v>
      </c>
      <c r="H1035" t="s">
        <v>272</v>
      </c>
      <c r="I1035" t="s">
        <v>31</v>
      </c>
      <c r="J1035">
        <v>690</v>
      </c>
      <c r="K1035" t="s">
        <v>273</v>
      </c>
      <c r="N1035">
        <v>2</v>
      </c>
      <c r="O1035">
        <v>0.44640000000000002</v>
      </c>
      <c r="P1035" t="s">
        <v>38</v>
      </c>
      <c r="Q1035" s="1">
        <v>0</v>
      </c>
      <c r="R1035" t="s">
        <v>1272</v>
      </c>
      <c r="S1035" t="str">
        <f t="shared" si="2"/>
        <v>ko hợp</v>
      </c>
    </row>
    <row r="1036" spans="1:19" hidden="1" x14ac:dyDescent="0.3">
      <c r="A1036" t="s">
        <v>1034</v>
      </c>
      <c r="B1036" t="s">
        <v>1035</v>
      </c>
      <c r="C1036" t="s">
        <v>944</v>
      </c>
      <c r="D1036">
        <v>19397</v>
      </c>
      <c r="E1036" t="s">
        <v>758</v>
      </c>
      <c r="F1036" t="s">
        <v>60</v>
      </c>
      <c r="G1036" t="s">
        <v>759</v>
      </c>
      <c r="H1036" t="s">
        <v>760</v>
      </c>
      <c r="I1036" t="s">
        <v>31</v>
      </c>
      <c r="J1036">
        <v>528</v>
      </c>
      <c r="K1036" t="s">
        <v>761</v>
      </c>
      <c r="L1036">
        <v>2</v>
      </c>
      <c r="M1036">
        <v>7.2821999999999996</v>
      </c>
      <c r="P1036" t="s">
        <v>33</v>
      </c>
      <c r="Q1036" s="1">
        <v>2</v>
      </c>
      <c r="R1036" t="s">
        <v>1272</v>
      </c>
      <c r="S1036" t="str">
        <f t="shared" si="2"/>
        <v>ok</v>
      </c>
    </row>
    <row r="1037" spans="1:19" hidden="1" x14ac:dyDescent="0.3">
      <c r="A1037" t="s">
        <v>1034</v>
      </c>
      <c r="B1037" t="s">
        <v>1035</v>
      </c>
      <c r="C1037" t="s">
        <v>944</v>
      </c>
      <c r="D1037">
        <v>171</v>
      </c>
      <c r="E1037" t="s">
        <v>102</v>
      </c>
      <c r="F1037" t="s">
        <v>103</v>
      </c>
      <c r="G1037" t="s">
        <v>104</v>
      </c>
      <c r="H1037" t="s">
        <v>105</v>
      </c>
      <c r="I1037" t="s">
        <v>31</v>
      </c>
      <c r="J1037">
        <v>474</v>
      </c>
      <c r="K1037" t="s">
        <v>106</v>
      </c>
      <c r="N1037">
        <v>3</v>
      </c>
      <c r="O1037">
        <v>0.43390000000000001</v>
      </c>
      <c r="P1037" t="s">
        <v>38</v>
      </c>
      <c r="Q1037" s="1">
        <v>0</v>
      </c>
      <c r="R1037" t="s">
        <v>1272</v>
      </c>
      <c r="S1037" t="str">
        <f t="shared" ref="S1037:S1100" si="3">IF(Q1037=2,"ok",IF(Q1037=1,"Phù hợp 1 phần", "ko hợp"))</f>
        <v>ko hợp</v>
      </c>
    </row>
    <row r="1038" spans="1:19" hidden="1" x14ac:dyDescent="0.3">
      <c r="A1038" t="s">
        <v>1034</v>
      </c>
      <c r="B1038" t="s">
        <v>1035</v>
      </c>
      <c r="C1038" t="s">
        <v>944</v>
      </c>
      <c r="D1038">
        <v>15839</v>
      </c>
      <c r="E1038" t="s">
        <v>154</v>
      </c>
      <c r="F1038" t="s">
        <v>155</v>
      </c>
      <c r="G1038" t="s">
        <v>156</v>
      </c>
      <c r="H1038" t="s">
        <v>157</v>
      </c>
      <c r="I1038" t="s">
        <v>25</v>
      </c>
      <c r="J1038">
        <v>298</v>
      </c>
      <c r="K1038" t="s">
        <v>158</v>
      </c>
      <c r="L1038">
        <v>3</v>
      </c>
      <c r="M1038">
        <v>7.0282999999999998</v>
      </c>
      <c r="P1038" t="s">
        <v>33</v>
      </c>
      <c r="Q1038" s="1">
        <v>1</v>
      </c>
      <c r="R1038" t="s">
        <v>1272</v>
      </c>
      <c r="S1038" t="str">
        <f t="shared" si="3"/>
        <v>Phù hợp 1 phần</v>
      </c>
    </row>
    <row r="1039" spans="1:19" hidden="1" x14ac:dyDescent="0.3">
      <c r="A1039" t="s">
        <v>1034</v>
      </c>
      <c r="B1039" t="s">
        <v>1035</v>
      </c>
      <c r="C1039" t="s">
        <v>944</v>
      </c>
      <c r="D1039">
        <v>14198</v>
      </c>
      <c r="E1039" t="s">
        <v>73</v>
      </c>
      <c r="F1039" t="s">
        <v>74</v>
      </c>
      <c r="G1039" t="s">
        <v>75</v>
      </c>
      <c r="H1039" t="s">
        <v>76</v>
      </c>
      <c r="I1039" t="s">
        <v>31</v>
      </c>
      <c r="J1039">
        <v>377</v>
      </c>
      <c r="K1039" t="s">
        <v>77</v>
      </c>
      <c r="L1039">
        <v>4</v>
      </c>
      <c r="M1039">
        <v>6.6247999999999996</v>
      </c>
      <c r="P1039" t="s">
        <v>33</v>
      </c>
      <c r="Q1039" s="1">
        <v>0</v>
      </c>
      <c r="R1039" t="s">
        <v>1272</v>
      </c>
      <c r="S1039" t="str">
        <f t="shared" si="3"/>
        <v>ko hợp</v>
      </c>
    </row>
    <row r="1040" spans="1:19" hidden="1" x14ac:dyDescent="0.3">
      <c r="A1040" t="s">
        <v>1034</v>
      </c>
      <c r="B1040" t="s">
        <v>1035</v>
      </c>
      <c r="C1040" t="s">
        <v>944</v>
      </c>
      <c r="D1040">
        <v>20773</v>
      </c>
      <c r="E1040" t="s">
        <v>109</v>
      </c>
      <c r="F1040" t="s">
        <v>60</v>
      </c>
      <c r="G1040" t="s">
        <v>41</v>
      </c>
      <c r="H1040" t="s">
        <v>110</v>
      </c>
      <c r="I1040" t="s">
        <v>25</v>
      </c>
      <c r="J1040">
        <v>1156</v>
      </c>
      <c r="K1040" t="s">
        <v>111</v>
      </c>
      <c r="N1040">
        <v>4</v>
      </c>
      <c r="O1040">
        <v>0.42859999999999998</v>
      </c>
      <c r="P1040" t="s">
        <v>38</v>
      </c>
      <c r="Q1040" s="1">
        <v>1</v>
      </c>
      <c r="R1040" t="s">
        <v>1272</v>
      </c>
      <c r="S1040" t="str">
        <f t="shared" si="3"/>
        <v>Phù hợp 1 phần</v>
      </c>
    </row>
    <row r="1041" spans="1:19" hidden="1" x14ac:dyDescent="0.3">
      <c r="A1041" t="s">
        <v>1034</v>
      </c>
      <c r="B1041" t="s">
        <v>1035</v>
      </c>
      <c r="C1041" t="s">
        <v>944</v>
      </c>
      <c r="D1041">
        <v>16756</v>
      </c>
      <c r="E1041" t="s">
        <v>764</v>
      </c>
      <c r="F1041" t="s">
        <v>155</v>
      </c>
      <c r="G1041" t="s">
        <v>235</v>
      </c>
      <c r="H1041" t="s">
        <v>765</v>
      </c>
      <c r="I1041" t="s">
        <v>25</v>
      </c>
      <c r="J1041">
        <v>344</v>
      </c>
      <c r="K1041" t="s">
        <v>766</v>
      </c>
      <c r="L1041">
        <v>5</v>
      </c>
      <c r="M1041">
        <v>6.4424999999999999</v>
      </c>
      <c r="P1041" t="s">
        <v>33</v>
      </c>
      <c r="Q1041" s="1">
        <v>1</v>
      </c>
      <c r="R1041" t="s">
        <v>1272</v>
      </c>
      <c r="S1041" t="str">
        <f t="shared" si="3"/>
        <v>Phù hợp 1 phần</v>
      </c>
    </row>
    <row r="1042" spans="1:19" hidden="1" x14ac:dyDescent="0.3">
      <c r="A1042" t="s">
        <v>1034</v>
      </c>
      <c r="B1042" t="s">
        <v>1035</v>
      </c>
      <c r="C1042" t="s">
        <v>944</v>
      </c>
      <c r="D1042">
        <v>17519</v>
      </c>
      <c r="E1042" t="s">
        <v>34</v>
      </c>
      <c r="F1042" t="s">
        <v>22</v>
      </c>
      <c r="G1042" t="s">
        <v>35</v>
      </c>
      <c r="H1042" t="s">
        <v>36</v>
      </c>
      <c r="I1042" t="s">
        <v>25</v>
      </c>
      <c r="J1042">
        <v>2690</v>
      </c>
      <c r="K1042" t="s">
        <v>37</v>
      </c>
      <c r="N1042">
        <v>5</v>
      </c>
      <c r="O1042">
        <v>0.4234</v>
      </c>
      <c r="P1042" t="s">
        <v>38</v>
      </c>
      <c r="Q1042" s="1">
        <v>0</v>
      </c>
      <c r="R1042" t="s">
        <v>1272</v>
      </c>
      <c r="S1042" t="str">
        <f t="shared" si="3"/>
        <v>ko hợp</v>
      </c>
    </row>
    <row r="1043" spans="1:19" hidden="1" x14ac:dyDescent="0.3">
      <c r="A1043" t="s">
        <v>1034</v>
      </c>
      <c r="B1043" t="s">
        <v>1035</v>
      </c>
      <c r="C1043" t="s">
        <v>944</v>
      </c>
      <c r="D1043">
        <v>13535</v>
      </c>
      <c r="E1043" t="s">
        <v>771</v>
      </c>
      <c r="F1043" t="s">
        <v>60</v>
      </c>
      <c r="G1043" t="s">
        <v>772</v>
      </c>
      <c r="H1043" t="s">
        <v>773</v>
      </c>
      <c r="I1043" t="s">
        <v>31</v>
      </c>
      <c r="J1043">
        <v>234</v>
      </c>
      <c r="K1043" t="s">
        <v>774</v>
      </c>
      <c r="L1043">
        <v>6</v>
      </c>
      <c r="M1043">
        <v>6.1371000000000002</v>
      </c>
      <c r="P1043" t="s">
        <v>33</v>
      </c>
      <c r="Q1043" s="1">
        <v>1</v>
      </c>
      <c r="R1043" t="s">
        <v>1272</v>
      </c>
      <c r="S1043" t="str">
        <f t="shared" si="3"/>
        <v>Phù hợp 1 phần</v>
      </c>
    </row>
    <row r="1044" spans="1:19" hidden="1" x14ac:dyDescent="0.3">
      <c r="A1044" t="s">
        <v>1034</v>
      </c>
      <c r="B1044" t="s">
        <v>1035</v>
      </c>
      <c r="C1044" t="s">
        <v>944</v>
      </c>
      <c r="D1044">
        <v>18885</v>
      </c>
      <c r="E1044" t="s">
        <v>86</v>
      </c>
      <c r="F1044" t="s">
        <v>60</v>
      </c>
      <c r="G1044" t="s">
        <v>87</v>
      </c>
      <c r="H1044" t="s">
        <v>88</v>
      </c>
      <c r="I1044" t="s">
        <v>31</v>
      </c>
      <c r="J1044">
        <v>596</v>
      </c>
      <c r="K1044" t="s">
        <v>89</v>
      </c>
      <c r="N1044">
        <v>6</v>
      </c>
      <c r="O1044">
        <v>0.42</v>
      </c>
      <c r="P1044" t="s">
        <v>38</v>
      </c>
      <c r="Q1044" s="1">
        <v>1</v>
      </c>
      <c r="R1044" t="s">
        <v>1272</v>
      </c>
      <c r="S1044" t="str">
        <f t="shared" si="3"/>
        <v>Phù hợp 1 phần</v>
      </c>
    </row>
    <row r="1045" spans="1:19" hidden="1" x14ac:dyDescent="0.3">
      <c r="A1045" t="s">
        <v>1034</v>
      </c>
      <c r="B1045" t="s">
        <v>1035</v>
      </c>
      <c r="C1045" t="s">
        <v>944</v>
      </c>
      <c r="D1045">
        <v>20472</v>
      </c>
      <c r="E1045" t="s">
        <v>487</v>
      </c>
      <c r="F1045" t="s">
        <v>60</v>
      </c>
      <c r="G1045" t="s">
        <v>488</v>
      </c>
      <c r="H1045" t="s">
        <v>489</v>
      </c>
      <c r="I1045" t="s">
        <v>25</v>
      </c>
      <c r="J1045">
        <v>579</v>
      </c>
      <c r="K1045" t="s">
        <v>490</v>
      </c>
      <c r="L1045">
        <v>7</v>
      </c>
      <c r="M1045">
        <v>6.0392999999999999</v>
      </c>
      <c r="P1045" t="s">
        <v>33</v>
      </c>
      <c r="Q1045" s="1">
        <v>1</v>
      </c>
      <c r="R1045" t="s">
        <v>1272</v>
      </c>
      <c r="S1045" t="str">
        <f t="shared" si="3"/>
        <v>Phù hợp 1 phần</v>
      </c>
    </row>
    <row r="1046" spans="1:19" hidden="1" x14ac:dyDescent="0.3">
      <c r="A1046" t="s">
        <v>1034</v>
      </c>
      <c r="B1046" t="s">
        <v>1035</v>
      </c>
      <c r="C1046" t="s">
        <v>944</v>
      </c>
      <c r="D1046">
        <v>20799</v>
      </c>
      <c r="E1046" t="s">
        <v>493</v>
      </c>
      <c r="F1046" t="s">
        <v>494</v>
      </c>
      <c r="G1046" t="s">
        <v>495</v>
      </c>
      <c r="H1046" t="s">
        <v>496</v>
      </c>
      <c r="I1046" t="s">
        <v>25</v>
      </c>
      <c r="J1046">
        <v>575</v>
      </c>
      <c r="K1046" t="s">
        <v>497</v>
      </c>
      <c r="N1046">
        <v>7</v>
      </c>
      <c r="O1046">
        <v>0.41020000000000001</v>
      </c>
      <c r="P1046" t="s">
        <v>38</v>
      </c>
      <c r="Q1046" s="1">
        <v>2</v>
      </c>
      <c r="R1046" t="s">
        <v>1272</v>
      </c>
      <c r="S1046" t="str">
        <f t="shared" si="3"/>
        <v>ok</v>
      </c>
    </row>
    <row r="1047" spans="1:19" hidden="1" x14ac:dyDescent="0.3">
      <c r="A1047" t="s">
        <v>1034</v>
      </c>
      <c r="B1047" t="s">
        <v>1035</v>
      </c>
      <c r="C1047" t="s">
        <v>944</v>
      </c>
      <c r="D1047">
        <v>11918</v>
      </c>
      <c r="E1047" t="s">
        <v>133</v>
      </c>
      <c r="F1047" t="s">
        <v>60</v>
      </c>
      <c r="G1047" t="s">
        <v>134</v>
      </c>
      <c r="H1047" t="s">
        <v>135</v>
      </c>
      <c r="I1047" t="s">
        <v>25</v>
      </c>
      <c r="J1047">
        <v>3604</v>
      </c>
      <c r="K1047" t="s">
        <v>136</v>
      </c>
      <c r="N1047">
        <v>8</v>
      </c>
      <c r="O1047">
        <v>0.40849999999999997</v>
      </c>
      <c r="P1047" t="s">
        <v>38</v>
      </c>
      <c r="Q1047" s="1">
        <v>1</v>
      </c>
      <c r="R1047" t="s">
        <v>1272</v>
      </c>
      <c r="S1047" t="str">
        <f t="shared" si="3"/>
        <v>Phù hợp 1 phần</v>
      </c>
    </row>
    <row r="1048" spans="1:19" hidden="1" x14ac:dyDescent="0.3">
      <c r="A1048" t="s">
        <v>1034</v>
      </c>
      <c r="B1048" t="s">
        <v>1035</v>
      </c>
      <c r="C1048" t="s">
        <v>944</v>
      </c>
      <c r="D1048">
        <v>17785</v>
      </c>
      <c r="E1048" t="s">
        <v>159</v>
      </c>
      <c r="F1048" t="s">
        <v>160</v>
      </c>
      <c r="G1048" t="s">
        <v>161</v>
      </c>
      <c r="H1048" t="s">
        <v>162</v>
      </c>
      <c r="I1048" t="s">
        <v>25</v>
      </c>
      <c r="J1048">
        <v>935</v>
      </c>
      <c r="K1048" t="s">
        <v>163</v>
      </c>
      <c r="L1048">
        <v>8</v>
      </c>
      <c r="M1048">
        <v>5.5822000000000003</v>
      </c>
      <c r="P1048" t="s">
        <v>33</v>
      </c>
      <c r="Q1048" s="1">
        <v>0</v>
      </c>
      <c r="R1048" t="s">
        <v>1272</v>
      </c>
      <c r="S1048" t="str">
        <f t="shared" si="3"/>
        <v>ko hợp</v>
      </c>
    </row>
    <row r="1049" spans="1:19" hidden="1" x14ac:dyDescent="0.3">
      <c r="A1049" t="s">
        <v>1034</v>
      </c>
      <c r="B1049" t="s">
        <v>1035</v>
      </c>
      <c r="C1049" t="s">
        <v>944</v>
      </c>
      <c r="D1049">
        <v>16838</v>
      </c>
      <c r="E1049" t="s">
        <v>129</v>
      </c>
      <c r="F1049" t="s">
        <v>60</v>
      </c>
      <c r="G1049" t="s">
        <v>130</v>
      </c>
      <c r="H1049" t="s">
        <v>131</v>
      </c>
      <c r="I1049" t="s">
        <v>31</v>
      </c>
      <c r="J1049">
        <v>3435</v>
      </c>
      <c r="K1049" t="s">
        <v>132</v>
      </c>
      <c r="L1049">
        <v>9</v>
      </c>
      <c r="M1049">
        <v>5.5305999999999997</v>
      </c>
      <c r="P1049" t="s">
        <v>33</v>
      </c>
      <c r="Q1049" s="1">
        <v>1</v>
      </c>
      <c r="R1049" t="s">
        <v>1272</v>
      </c>
      <c r="S1049" t="str">
        <f t="shared" si="3"/>
        <v>Phù hợp 1 phần</v>
      </c>
    </row>
    <row r="1050" spans="1:19" hidden="1" x14ac:dyDescent="0.3">
      <c r="A1050" t="s">
        <v>1034</v>
      </c>
      <c r="B1050" t="s">
        <v>1035</v>
      </c>
      <c r="C1050" t="s">
        <v>944</v>
      </c>
      <c r="D1050">
        <v>20020</v>
      </c>
      <c r="E1050" t="s">
        <v>1036</v>
      </c>
      <c r="F1050" t="s">
        <v>22</v>
      </c>
      <c r="G1050" t="s">
        <v>271</v>
      </c>
      <c r="H1050" t="s">
        <v>1037</v>
      </c>
      <c r="I1050" t="s">
        <v>31</v>
      </c>
      <c r="J1050">
        <v>529</v>
      </c>
      <c r="K1050" t="s">
        <v>1038</v>
      </c>
      <c r="N1050">
        <v>9</v>
      </c>
      <c r="O1050">
        <v>0.40550000000000003</v>
      </c>
      <c r="P1050" t="s">
        <v>38</v>
      </c>
      <c r="Q1050" s="1">
        <v>0</v>
      </c>
      <c r="R1050" t="s">
        <v>1272</v>
      </c>
      <c r="S1050" t="str">
        <f t="shared" si="3"/>
        <v>ko hợp</v>
      </c>
    </row>
    <row r="1051" spans="1:19" hidden="1" x14ac:dyDescent="0.3">
      <c r="A1051" t="s">
        <v>1034</v>
      </c>
      <c r="B1051" t="s">
        <v>1035</v>
      </c>
      <c r="C1051" t="s">
        <v>944</v>
      </c>
      <c r="D1051">
        <v>18703</v>
      </c>
      <c r="E1051" t="s">
        <v>116</v>
      </c>
      <c r="F1051" t="s">
        <v>117</v>
      </c>
      <c r="G1051" t="s">
        <v>118</v>
      </c>
      <c r="H1051" t="s">
        <v>119</v>
      </c>
      <c r="I1051" t="s">
        <v>31</v>
      </c>
      <c r="J1051">
        <v>303</v>
      </c>
      <c r="K1051" t="s">
        <v>120</v>
      </c>
      <c r="N1051">
        <v>10</v>
      </c>
      <c r="O1051">
        <v>0.40479999999999999</v>
      </c>
      <c r="P1051" t="s">
        <v>38</v>
      </c>
      <c r="Q1051" s="1">
        <v>0</v>
      </c>
      <c r="R1051" t="s">
        <v>1272</v>
      </c>
      <c r="S1051" t="str">
        <f t="shared" si="3"/>
        <v>ko hợp</v>
      </c>
    </row>
    <row r="1052" spans="1:19" hidden="1" x14ac:dyDescent="0.3">
      <c r="A1052" t="s">
        <v>1034</v>
      </c>
      <c r="B1052" t="s">
        <v>1035</v>
      </c>
      <c r="C1052" t="s">
        <v>944</v>
      </c>
      <c r="D1052">
        <v>19317</v>
      </c>
      <c r="E1052" t="s">
        <v>44</v>
      </c>
      <c r="F1052" t="s">
        <v>45</v>
      </c>
      <c r="G1052" t="s">
        <v>46</v>
      </c>
      <c r="H1052" t="s">
        <v>47</v>
      </c>
      <c r="I1052" t="s">
        <v>31</v>
      </c>
      <c r="J1052">
        <v>4168</v>
      </c>
      <c r="K1052" t="s">
        <v>48</v>
      </c>
      <c r="L1052">
        <v>10</v>
      </c>
      <c r="M1052">
        <v>5.4105999999999996</v>
      </c>
      <c r="P1052" t="s">
        <v>33</v>
      </c>
      <c r="Q1052" s="1">
        <v>1</v>
      </c>
      <c r="R1052" t="s">
        <v>1272</v>
      </c>
      <c r="S1052" t="str">
        <f t="shared" si="3"/>
        <v>Phù hợp 1 phần</v>
      </c>
    </row>
    <row r="1053" spans="1:19" hidden="1" x14ac:dyDescent="0.3">
      <c r="A1053" t="s">
        <v>1039</v>
      </c>
      <c r="B1053" t="s">
        <v>1040</v>
      </c>
      <c r="C1053" t="s">
        <v>944</v>
      </c>
      <c r="D1053">
        <v>18831</v>
      </c>
      <c r="E1053" t="s">
        <v>841</v>
      </c>
      <c r="F1053" t="s">
        <v>842</v>
      </c>
      <c r="G1053" t="s">
        <v>41</v>
      </c>
      <c r="H1053" t="s">
        <v>843</v>
      </c>
      <c r="I1053" t="s">
        <v>31</v>
      </c>
      <c r="J1053">
        <v>565</v>
      </c>
      <c r="K1053" t="s">
        <v>844</v>
      </c>
      <c r="L1053">
        <v>9</v>
      </c>
      <c r="M1053">
        <v>7.3075999999999999</v>
      </c>
      <c r="N1053">
        <v>1</v>
      </c>
      <c r="O1053">
        <v>0.4214</v>
      </c>
      <c r="P1053" t="s">
        <v>27</v>
      </c>
      <c r="Q1053" s="1">
        <v>0</v>
      </c>
      <c r="R1053" t="s">
        <v>1272</v>
      </c>
      <c r="S1053" t="str">
        <f t="shared" si="3"/>
        <v>ko hợp</v>
      </c>
    </row>
    <row r="1054" spans="1:19" hidden="1" x14ac:dyDescent="0.3">
      <c r="A1054" t="s">
        <v>1039</v>
      </c>
      <c r="B1054" t="s">
        <v>1040</v>
      </c>
      <c r="C1054" t="s">
        <v>944</v>
      </c>
      <c r="D1054">
        <v>20773</v>
      </c>
      <c r="E1054" t="s">
        <v>109</v>
      </c>
      <c r="F1054" t="s">
        <v>60</v>
      </c>
      <c r="G1054" t="s">
        <v>41</v>
      </c>
      <c r="H1054" t="s">
        <v>110</v>
      </c>
      <c r="I1054" t="s">
        <v>25</v>
      </c>
      <c r="J1054">
        <v>1156</v>
      </c>
      <c r="K1054" t="s">
        <v>111</v>
      </c>
      <c r="L1054">
        <v>1</v>
      </c>
      <c r="M1054">
        <v>9.3547999999999991</v>
      </c>
      <c r="P1054" t="s">
        <v>33</v>
      </c>
      <c r="Q1054" s="1">
        <v>0</v>
      </c>
      <c r="R1054" t="s">
        <v>1272</v>
      </c>
      <c r="S1054" t="str">
        <f t="shared" si="3"/>
        <v>ko hợp</v>
      </c>
    </row>
    <row r="1055" spans="1:19" hidden="1" x14ac:dyDescent="0.3">
      <c r="A1055" t="s">
        <v>1039</v>
      </c>
      <c r="B1055" t="s">
        <v>1040</v>
      </c>
      <c r="C1055" t="s">
        <v>944</v>
      </c>
      <c r="D1055">
        <v>6637</v>
      </c>
      <c r="E1055" t="s">
        <v>735</v>
      </c>
      <c r="F1055" t="s">
        <v>60</v>
      </c>
      <c r="G1055" t="s">
        <v>736</v>
      </c>
      <c r="H1055" t="s">
        <v>737</v>
      </c>
      <c r="I1055" t="s">
        <v>25</v>
      </c>
      <c r="J1055">
        <v>1382</v>
      </c>
      <c r="K1055" t="s">
        <v>738</v>
      </c>
      <c r="N1055">
        <v>2</v>
      </c>
      <c r="O1055">
        <v>0.41980000000000001</v>
      </c>
      <c r="P1055" t="s">
        <v>38</v>
      </c>
      <c r="Q1055" s="1">
        <v>0</v>
      </c>
      <c r="R1055" t="s">
        <v>1272</v>
      </c>
      <c r="S1055" t="str">
        <f t="shared" si="3"/>
        <v>ko hợp</v>
      </c>
    </row>
    <row r="1056" spans="1:19" hidden="1" x14ac:dyDescent="0.3">
      <c r="A1056" t="s">
        <v>1039</v>
      </c>
      <c r="B1056" t="s">
        <v>1040</v>
      </c>
      <c r="C1056" t="s">
        <v>944</v>
      </c>
      <c r="D1056">
        <v>14198</v>
      </c>
      <c r="E1056" t="s">
        <v>73</v>
      </c>
      <c r="F1056" t="s">
        <v>74</v>
      </c>
      <c r="G1056" t="s">
        <v>75</v>
      </c>
      <c r="H1056" t="s">
        <v>76</v>
      </c>
      <c r="I1056" t="s">
        <v>31</v>
      </c>
      <c r="J1056">
        <v>377</v>
      </c>
      <c r="K1056" t="s">
        <v>77</v>
      </c>
      <c r="L1056">
        <v>2</v>
      </c>
      <c r="M1056">
        <v>9.1250999999999998</v>
      </c>
      <c r="N1056">
        <v>5</v>
      </c>
      <c r="O1056">
        <v>0.39939999999999998</v>
      </c>
      <c r="P1056" t="s">
        <v>27</v>
      </c>
      <c r="Q1056" s="1">
        <v>0</v>
      </c>
      <c r="R1056" t="s">
        <v>1272</v>
      </c>
      <c r="S1056" t="str">
        <f t="shared" si="3"/>
        <v>ko hợp</v>
      </c>
    </row>
    <row r="1057" spans="1:19" hidden="1" x14ac:dyDescent="0.3">
      <c r="A1057" t="s">
        <v>1039</v>
      </c>
      <c r="B1057" t="s">
        <v>1040</v>
      </c>
      <c r="C1057" t="s">
        <v>944</v>
      </c>
      <c r="D1057">
        <v>2385</v>
      </c>
      <c r="E1057" t="s">
        <v>284</v>
      </c>
      <c r="F1057" t="s">
        <v>60</v>
      </c>
      <c r="G1057" t="s">
        <v>41</v>
      </c>
      <c r="H1057" t="s">
        <v>285</v>
      </c>
      <c r="I1057" t="s">
        <v>25</v>
      </c>
      <c r="J1057">
        <v>1160</v>
      </c>
      <c r="K1057" t="s">
        <v>286</v>
      </c>
      <c r="N1057">
        <v>3</v>
      </c>
      <c r="O1057">
        <v>0.4123</v>
      </c>
      <c r="P1057" t="s">
        <v>38</v>
      </c>
      <c r="Q1057" s="1">
        <v>0</v>
      </c>
      <c r="R1057" t="s">
        <v>1272</v>
      </c>
      <c r="S1057" t="str">
        <f t="shared" si="3"/>
        <v>ko hợp</v>
      </c>
    </row>
    <row r="1058" spans="1:19" hidden="1" x14ac:dyDescent="0.3">
      <c r="A1058" t="s">
        <v>1039</v>
      </c>
      <c r="B1058" t="s">
        <v>1040</v>
      </c>
      <c r="C1058" t="s">
        <v>944</v>
      </c>
      <c r="D1058">
        <v>15905</v>
      </c>
      <c r="E1058" t="s">
        <v>262</v>
      </c>
      <c r="F1058" t="s">
        <v>60</v>
      </c>
      <c r="G1058" t="s">
        <v>263</v>
      </c>
      <c r="H1058" t="s">
        <v>264</v>
      </c>
      <c r="I1058" t="s">
        <v>31</v>
      </c>
      <c r="J1058">
        <v>772</v>
      </c>
      <c r="K1058" t="s">
        <v>265</v>
      </c>
      <c r="L1058">
        <v>3</v>
      </c>
      <c r="M1058">
        <v>8.1669</v>
      </c>
      <c r="P1058" t="s">
        <v>33</v>
      </c>
      <c r="Q1058" s="1">
        <v>0</v>
      </c>
      <c r="R1058" t="s">
        <v>1272</v>
      </c>
      <c r="S1058" t="str">
        <f t="shared" si="3"/>
        <v>ko hợp</v>
      </c>
    </row>
    <row r="1059" spans="1:19" hidden="1" x14ac:dyDescent="0.3">
      <c r="A1059" t="s">
        <v>1039</v>
      </c>
      <c r="B1059" t="s">
        <v>1040</v>
      </c>
      <c r="C1059" t="s">
        <v>944</v>
      </c>
      <c r="D1059">
        <v>19472</v>
      </c>
      <c r="E1059" t="s">
        <v>332</v>
      </c>
      <c r="F1059" t="s">
        <v>288</v>
      </c>
      <c r="G1059" t="s">
        <v>333</v>
      </c>
      <c r="H1059" t="s">
        <v>334</v>
      </c>
      <c r="I1059" t="s">
        <v>31</v>
      </c>
      <c r="J1059">
        <v>192</v>
      </c>
      <c r="K1059" t="s">
        <v>335</v>
      </c>
      <c r="N1059">
        <v>4</v>
      </c>
      <c r="O1059">
        <v>0.40139999999999998</v>
      </c>
      <c r="P1059" t="s">
        <v>38</v>
      </c>
      <c r="Q1059" s="1">
        <v>1</v>
      </c>
      <c r="R1059" t="s">
        <v>1272</v>
      </c>
      <c r="S1059" t="str">
        <f t="shared" si="3"/>
        <v>Phù hợp 1 phần</v>
      </c>
    </row>
    <row r="1060" spans="1:19" hidden="1" x14ac:dyDescent="0.3">
      <c r="A1060" t="s">
        <v>1039</v>
      </c>
      <c r="B1060" t="s">
        <v>1040</v>
      </c>
      <c r="C1060" t="s">
        <v>944</v>
      </c>
      <c r="D1060">
        <v>20735</v>
      </c>
      <c r="E1060" t="s">
        <v>448</v>
      </c>
      <c r="F1060" t="s">
        <v>449</v>
      </c>
      <c r="G1060" t="s">
        <v>41</v>
      </c>
      <c r="H1060" t="s">
        <v>450</v>
      </c>
      <c r="I1060" t="s">
        <v>25</v>
      </c>
      <c r="J1060">
        <v>750</v>
      </c>
      <c r="K1060" t="s">
        <v>451</v>
      </c>
      <c r="L1060">
        <v>4</v>
      </c>
      <c r="M1060">
        <v>7.8825000000000003</v>
      </c>
      <c r="P1060" t="s">
        <v>33</v>
      </c>
      <c r="Q1060" s="1">
        <v>0</v>
      </c>
      <c r="R1060" t="s">
        <v>1272</v>
      </c>
      <c r="S1060" t="str">
        <f t="shared" si="3"/>
        <v>ko hợp</v>
      </c>
    </row>
    <row r="1061" spans="1:19" hidden="1" x14ac:dyDescent="0.3">
      <c r="A1061" t="s">
        <v>1039</v>
      </c>
      <c r="B1061" t="s">
        <v>1040</v>
      </c>
      <c r="C1061" t="s">
        <v>944</v>
      </c>
      <c r="D1061">
        <v>13681</v>
      </c>
      <c r="E1061" t="s">
        <v>112</v>
      </c>
      <c r="F1061" t="s">
        <v>74</v>
      </c>
      <c r="G1061" t="s">
        <v>113</v>
      </c>
      <c r="H1061" t="s">
        <v>114</v>
      </c>
      <c r="I1061" t="s">
        <v>31</v>
      </c>
      <c r="J1061">
        <v>580</v>
      </c>
      <c r="K1061" t="s">
        <v>115</v>
      </c>
      <c r="L1061">
        <v>5</v>
      </c>
      <c r="M1061">
        <v>7.3868999999999998</v>
      </c>
      <c r="P1061" t="s">
        <v>33</v>
      </c>
      <c r="Q1061" s="1">
        <v>1</v>
      </c>
      <c r="R1061" t="s">
        <v>1272</v>
      </c>
      <c r="S1061" t="str">
        <f t="shared" si="3"/>
        <v>Phù hợp 1 phần</v>
      </c>
    </row>
    <row r="1062" spans="1:19" hidden="1" x14ac:dyDescent="0.3">
      <c r="A1062" t="s">
        <v>1039</v>
      </c>
      <c r="B1062" t="s">
        <v>1040</v>
      </c>
      <c r="C1062" t="s">
        <v>944</v>
      </c>
      <c r="D1062">
        <v>15995</v>
      </c>
      <c r="E1062" t="s">
        <v>513</v>
      </c>
      <c r="F1062" t="s">
        <v>155</v>
      </c>
      <c r="G1062" t="s">
        <v>514</v>
      </c>
      <c r="H1062" t="s">
        <v>515</v>
      </c>
      <c r="I1062" t="s">
        <v>31</v>
      </c>
      <c r="J1062">
        <v>1282</v>
      </c>
      <c r="K1062" t="s">
        <v>516</v>
      </c>
      <c r="L1062">
        <v>6</v>
      </c>
      <c r="M1062">
        <v>7.3559999999999999</v>
      </c>
      <c r="P1062" t="s">
        <v>33</v>
      </c>
      <c r="Q1062" s="1">
        <v>0</v>
      </c>
      <c r="R1062" t="s">
        <v>1272</v>
      </c>
      <c r="S1062" t="str">
        <f t="shared" si="3"/>
        <v>ko hợp</v>
      </c>
    </row>
    <row r="1063" spans="1:19" hidden="1" x14ac:dyDescent="0.3">
      <c r="A1063" t="s">
        <v>1039</v>
      </c>
      <c r="B1063" t="s">
        <v>1040</v>
      </c>
      <c r="C1063" t="s">
        <v>944</v>
      </c>
      <c r="D1063">
        <v>19521</v>
      </c>
      <c r="E1063" t="s">
        <v>213</v>
      </c>
      <c r="F1063" t="s">
        <v>155</v>
      </c>
      <c r="G1063" t="s">
        <v>214</v>
      </c>
      <c r="H1063" t="s">
        <v>215</v>
      </c>
      <c r="I1063" t="s">
        <v>31</v>
      </c>
      <c r="J1063">
        <v>265</v>
      </c>
      <c r="K1063" t="s">
        <v>216</v>
      </c>
      <c r="N1063">
        <v>6</v>
      </c>
      <c r="O1063">
        <v>0.3987</v>
      </c>
      <c r="P1063" t="s">
        <v>38</v>
      </c>
      <c r="Q1063" s="1">
        <v>2</v>
      </c>
      <c r="R1063" t="s">
        <v>1272</v>
      </c>
      <c r="S1063" t="str">
        <f t="shared" si="3"/>
        <v>ok</v>
      </c>
    </row>
    <row r="1064" spans="1:19" hidden="1" x14ac:dyDescent="0.3">
      <c r="A1064" t="s">
        <v>1039</v>
      </c>
      <c r="B1064" t="s">
        <v>1040</v>
      </c>
      <c r="C1064" t="s">
        <v>944</v>
      </c>
      <c r="D1064">
        <v>17792</v>
      </c>
      <c r="E1064" t="s">
        <v>229</v>
      </c>
      <c r="F1064" t="s">
        <v>230</v>
      </c>
      <c r="G1064" t="s">
        <v>231</v>
      </c>
      <c r="H1064" t="s">
        <v>232</v>
      </c>
      <c r="I1064" t="s">
        <v>31</v>
      </c>
      <c r="J1064">
        <v>564</v>
      </c>
      <c r="K1064" t="s">
        <v>233</v>
      </c>
      <c r="L1064">
        <v>7</v>
      </c>
      <c r="M1064">
        <v>7.3330000000000002</v>
      </c>
      <c r="P1064" t="s">
        <v>33</v>
      </c>
      <c r="Q1064" s="1">
        <v>1</v>
      </c>
      <c r="R1064" t="s">
        <v>1272</v>
      </c>
      <c r="S1064" t="str">
        <f t="shared" si="3"/>
        <v>Phù hợp 1 phần</v>
      </c>
    </row>
    <row r="1065" spans="1:19" hidden="1" x14ac:dyDescent="0.3">
      <c r="A1065" t="s">
        <v>1039</v>
      </c>
      <c r="B1065" t="s">
        <v>1040</v>
      </c>
      <c r="C1065" t="s">
        <v>944</v>
      </c>
      <c r="D1065">
        <v>19019</v>
      </c>
      <c r="E1065" t="s">
        <v>296</v>
      </c>
      <c r="F1065" t="s">
        <v>297</v>
      </c>
      <c r="G1065" t="s">
        <v>298</v>
      </c>
      <c r="H1065" t="s">
        <v>299</v>
      </c>
      <c r="I1065" t="s">
        <v>25</v>
      </c>
      <c r="J1065">
        <v>999</v>
      </c>
      <c r="K1065" t="s">
        <v>300</v>
      </c>
      <c r="N1065">
        <v>7</v>
      </c>
      <c r="O1065">
        <v>0.39810000000000001</v>
      </c>
      <c r="P1065" t="s">
        <v>38</v>
      </c>
      <c r="Q1065" s="1">
        <v>0</v>
      </c>
      <c r="R1065" t="s">
        <v>1272</v>
      </c>
      <c r="S1065" t="str">
        <f t="shared" si="3"/>
        <v>ko hợp</v>
      </c>
    </row>
    <row r="1066" spans="1:19" hidden="1" x14ac:dyDescent="0.3">
      <c r="A1066" t="s">
        <v>1039</v>
      </c>
      <c r="B1066" t="s">
        <v>1040</v>
      </c>
      <c r="C1066" t="s">
        <v>944</v>
      </c>
      <c r="D1066">
        <v>16814</v>
      </c>
      <c r="E1066" t="s">
        <v>787</v>
      </c>
      <c r="F1066" t="s">
        <v>60</v>
      </c>
      <c r="G1066" t="s">
        <v>788</v>
      </c>
      <c r="H1066" t="s">
        <v>789</v>
      </c>
      <c r="I1066" t="s">
        <v>25</v>
      </c>
      <c r="J1066">
        <v>483</v>
      </c>
      <c r="K1066" t="s">
        <v>790</v>
      </c>
      <c r="N1066">
        <v>8</v>
      </c>
      <c r="O1066">
        <v>0.39760000000000001</v>
      </c>
      <c r="P1066" t="s">
        <v>38</v>
      </c>
      <c r="Q1066" s="1">
        <v>0</v>
      </c>
      <c r="R1066" t="s">
        <v>1272</v>
      </c>
      <c r="S1066" t="str">
        <f t="shared" si="3"/>
        <v>ko hợp</v>
      </c>
    </row>
    <row r="1067" spans="1:19" hidden="1" x14ac:dyDescent="0.3">
      <c r="A1067" t="s">
        <v>1039</v>
      </c>
      <c r="B1067" t="s">
        <v>1040</v>
      </c>
      <c r="C1067" t="s">
        <v>944</v>
      </c>
      <c r="D1067">
        <v>16838</v>
      </c>
      <c r="E1067" t="s">
        <v>129</v>
      </c>
      <c r="F1067" t="s">
        <v>60</v>
      </c>
      <c r="G1067" t="s">
        <v>130</v>
      </c>
      <c r="H1067" t="s">
        <v>131</v>
      </c>
      <c r="I1067" t="s">
        <v>31</v>
      </c>
      <c r="J1067">
        <v>3435</v>
      </c>
      <c r="K1067" t="s">
        <v>132</v>
      </c>
      <c r="L1067">
        <v>8</v>
      </c>
      <c r="M1067">
        <v>7.3209</v>
      </c>
      <c r="P1067" t="s">
        <v>33</v>
      </c>
      <c r="Q1067" s="1">
        <v>0</v>
      </c>
      <c r="R1067" t="s">
        <v>1272</v>
      </c>
      <c r="S1067" t="str">
        <f t="shared" si="3"/>
        <v>ko hợp</v>
      </c>
    </row>
    <row r="1068" spans="1:19" hidden="1" x14ac:dyDescent="0.3">
      <c r="A1068" t="s">
        <v>1039</v>
      </c>
      <c r="B1068" t="s">
        <v>1040</v>
      </c>
      <c r="C1068" t="s">
        <v>944</v>
      </c>
      <c r="D1068">
        <v>13970</v>
      </c>
      <c r="E1068" t="s">
        <v>287</v>
      </c>
      <c r="F1068" t="s">
        <v>288</v>
      </c>
      <c r="G1068" t="s">
        <v>289</v>
      </c>
      <c r="H1068" t="s">
        <v>290</v>
      </c>
      <c r="I1068" t="s">
        <v>31</v>
      </c>
      <c r="J1068">
        <v>670</v>
      </c>
      <c r="K1068" t="s">
        <v>291</v>
      </c>
      <c r="N1068">
        <v>9</v>
      </c>
      <c r="O1068">
        <v>0.39290000000000003</v>
      </c>
      <c r="P1068" t="s">
        <v>38</v>
      </c>
      <c r="Q1068" s="1">
        <v>2</v>
      </c>
      <c r="R1068" t="s">
        <v>1272</v>
      </c>
      <c r="S1068" t="str">
        <f t="shared" si="3"/>
        <v>ok</v>
      </c>
    </row>
    <row r="1069" spans="1:19" hidden="1" x14ac:dyDescent="0.3">
      <c r="A1069" t="s">
        <v>1039</v>
      </c>
      <c r="B1069" t="s">
        <v>1040</v>
      </c>
      <c r="C1069" t="s">
        <v>944</v>
      </c>
      <c r="D1069">
        <v>18422</v>
      </c>
      <c r="E1069" t="s">
        <v>301</v>
      </c>
      <c r="F1069" t="s">
        <v>302</v>
      </c>
      <c r="G1069" t="s">
        <v>303</v>
      </c>
      <c r="H1069" t="s">
        <v>304</v>
      </c>
      <c r="I1069" t="s">
        <v>31</v>
      </c>
      <c r="J1069">
        <v>500</v>
      </c>
      <c r="K1069" t="s">
        <v>305</v>
      </c>
      <c r="N1069">
        <v>10</v>
      </c>
      <c r="O1069">
        <v>0.39169999999999999</v>
      </c>
      <c r="P1069" t="s">
        <v>38</v>
      </c>
      <c r="Q1069" s="1">
        <v>1</v>
      </c>
      <c r="R1069" t="s">
        <v>1272</v>
      </c>
      <c r="S1069" t="str">
        <f t="shared" si="3"/>
        <v>Phù hợp 1 phần</v>
      </c>
    </row>
    <row r="1070" spans="1:19" hidden="1" x14ac:dyDescent="0.3">
      <c r="A1070" t="s">
        <v>1039</v>
      </c>
      <c r="B1070" t="s">
        <v>1040</v>
      </c>
      <c r="C1070" t="s">
        <v>944</v>
      </c>
      <c r="D1070">
        <v>20185</v>
      </c>
      <c r="E1070" t="s">
        <v>885</v>
      </c>
      <c r="F1070" t="s">
        <v>842</v>
      </c>
      <c r="G1070" t="s">
        <v>886</v>
      </c>
      <c r="H1070" t="s">
        <v>887</v>
      </c>
      <c r="I1070" t="s">
        <v>31</v>
      </c>
      <c r="J1070">
        <v>674</v>
      </c>
      <c r="K1070" t="s">
        <v>888</v>
      </c>
      <c r="L1070">
        <v>10</v>
      </c>
      <c r="M1070">
        <v>7.2408000000000001</v>
      </c>
      <c r="P1070" t="s">
        <v>33</v>
      </c>
      <c r="Q1070" s="1">
        <v>1</v>
      </c>
      <c r="R1070" t="s">
        <v>1272</v>
      </c>
      <c r="S1070" t="str">
        <f t="shared" si="3"/>
        <v>Phù hợp 1 phần</v>
      </c>
    </row>
    <row r="1071" spans="1:19" hidden="1" x14ac:dyDescent="0.3">
      <c r="A1071" t="s">
        <v>1041</v>
      </c>
      <c r="B1071" t="s">
        <v>1042</v>
      </c>
      <c r="C1071" t="s">
        <v>944</v>
      </c>
      <c r="D1071">
        <v>9820</v>
      </c>
      <c r="E1071" t="s">
        <v>150</v>
      </c>
      <c r="F1071" t="s">
        <v>60</v>
      </c>
      <c r="G1071" t="s">
        <v>151</v>
      </c>
      <c r="H1071" t="s">
        <v>152</v>
      </c>
      <c r="I1071" t="s">
        <v>25</v>
      </c>
      <c r="J1071">
        <v>2512</v>
      </c>
      <c r="K1071" t="s">
        <v>153</v>
      </c>
      <c r="L1071">
        <v>7</v>
      </c>
      <c r="M1071">
        <v>9.1662999999999997</v>
      </c>
      <c r="N1071">
        <v>1</v>
      </c>
      <c r="O1071">
        <v>0.45729999999999998</v>
      </c>
      <c r="P1071" t="s">
        <v>27</v>
      </c>
      <c r="Q1071" s="1">
        <v>0</v>
      </c>
      <c r="R1071" t="s">
        <v>1272</v>
      </c>
      <c r="S1071" t="str">
        <f t="shared" si="3"/>
        <v>ko hợp</v>
      </c>
    </row>
    <row r="1072" spans="1:19" hidden="1" x14ac:dyDescent="0.3">
      <c r="A1072" t="s">
        <v>1041</v>
      </c>
      <c r="B1072" t="s">
        <v>1042</v>
      </c>
      <c r="C1072" t="s">
        <v>944</v>
      </c>
      <c r="D1072">
        <v>15905</v>
      </c>
      <c r="E1072" t="s">
        <v>262</v>
      </c>
      <c r="F1072" t="s">
        <v>60</v>
      </c>
      <c r="G1072" t="s">
        <v>263</v>
      </c>
      <c r="H1072" t="s">
        <v>264</v>
      </c>
      <c r="I1072" t="s">
        <v>31</v>
      </c>
      <c r="J1072">
        <v>772</v>
      </c>
      <c r="K1072" t="s">
        <v>265</v>
      </c>
      <c r="L1072">
        <v>1</v>
      </c>
      <c r="M1072">
        <v>14.008800000000001</v>
      </c>
      <c r="P1072" t="s">
        <v>33</v>
      </c>
      <c r="Q1072" s="1">
        <v>0</v>
      </c>
      <c r="R1072" t="s">
        <v>1272</v>
      </c>
      <c r="S1072" t="str">
        <f t="shared" si="3"/>
        <v>ko hợp</v>
      </c>
    </row>
    <row r="1073" spans="1:19" hidden="1" x14ac:dyDescent="0.3">
      <c r="A1073" t="s">
        <v>1041</v>
      </c>
      <c r="B1073" t="s">
        <v>1042</v>
      </c>
      <c r="C1073" t="s">
        <v>944</v>
      </c>
      <c r="D1073">
        <v>13561</v>
      </c>
      <c r="E1073" t="s">
        <v>832</v>
      </c>
      <c r="F1073" t="s">
        <v>60</v>
      </c>
      <c r="G1073" t="s">
        <v>833</v>
      </c>
      <c r="H1073" t="s">
        <v>834</v>
      </c>
      <c r="I1073" t="s">
        <v>31</v>
      </c>
      <c r="J1073">
        <v>498</v>
      </c>
      <c r="K1073" t="s">
        <v>835</v>
      </c>
      <c r="L1073">
        <v>2</v>
      </c>
      <c r="M1073">
        <v>11.785399999999999</v>
      </c>
      <c r="N1073">
        <v>10</v>
      </c>
      <c r="O1073">
        <v>0.40679999999999999</v>
      </c>
      <c r="P1073" t="s">
        <v>27</v>
      </c>
      <c r="Q1073" s="1">
        <v>0</v>
      </c>
      <c r="R1073" t="s">
        <v>1272</v>
      </c>
      <c r="S1073" t="str">
        <f t="shared" si="3"/>
        <v>ko hợp</v>
      </c>
    </row>
    <row r="1074" spans="1:19" hidden="1" x14ac:dyDescent="0.3">
      <c r="A1074" t="s">
        <v>1041</v>
      </c>
      <c r="B1074" t="s">
        <v>1042</v>
      </c>
      <c r="C1074" t="s">
        <v>944</v>
      </c>
      <c r="D1074">
        <v>17533</v>
      </c>
      <c r="E1074" t="s">
        <v>746</v>
      </c>
      <c r="F1074" t="s">
        <v>60</v>
      </c>
      <c r="G1074" t="s">
        <v>719</v>
      </c>
      <c r="H1074" t="s">
        <v>747</v>
      </c>
      <c r="I1074" t="s">
        <v>25</v>
      </c>
      <c r="J1074">
        <v>907</v>
      </c>
      <c r="K1074" t="s">
        <v>748</v>
      </c>
      <c r="N1074">
        <v>2</v>
      </c>
      <c r="O1074">
        <v>0.44159999999999999</v>
      </c>
      <c r="P1074" t="s">
        <v>38</v>
      </c>
      <c r="Q1074" s="1">
        <v>0</v>
      </c>
      <c r="R1074" t="s">
        <v>1272</v>
      </c>
      <c r="S1074" t="str">
        <f t="shared" si="3"/>
        <v>ko hợp</v>
      </c>
    </row>
    <row r="1075" spans="1:19" hidden="1" x14ac:dyDescent="0.3">
      <c r="A1075" t="s">
        <v>1041</v>
      </c>
      <c r="B1075" t="s">
        <v>1042</v>
      </c>
      <c r="C1075" t="s">
        <v>944</v>
      </c>
      <c r="D1075">
        <v>17058</v>
      </c>
      <c r="E1075" t="s">
        <v>925</v>
      </c>
      <c r="F1075" t="s">
        <v>60</v>
      </c>
      <c r="G1075" t="s">
        <v>926</v>
      </c>
      <c r="H1075" t="s">
        <v>927</v>
      </c>
      <c r="I1075" t="s">
        <v>31</v>
      </c>
      <c r="J1075">
        <v>5613</v>
      </c>
      <c r="K1075" t="s">
        <v>928</v>
      </c>
      <c r="L1075">
        <v>3</v>
      </c>
      <c r="M1075">
        <v>10.664899999999999</v>
      </c>
      <c r="P1075" t="s">
        <v>33</v>
      </c>
      <c r="Q1075" s="1">
        <v>0</v>
      </c>
      <c r="R1075" t="s">
        <v>1272</v>
      </c>
      <c r="S1075" t="str">
        <f t="shared" si="3"/>
        <v>ko hợp</v>
      </c>
    </row>
    <row r="1076" spans="1:19" hidden="1" x14ac:dyDescent="0.3">
      <c r="A1076" t="s">
        <v>1041</v>
      </c>
      <c r="B1076" t="s">
        <v>1042</v>
      </c>
      <c r="C1076" t="s">
        <v>944</v>
      </c>
      <c r="D1076">
        <v>18885</v>
      </c>
      <c r="E1076" t="s">
        <v>86</v>
      </c>
      <c r="F1076" t="s">
        <v>60</v>
      </c>
      <c r="G1076" t="s">
        <v>87</v>
      </c>
      <c r="H1076" t="s">
        <v>88</v>
      </c>
      <c r="I1076" t="s">
        <v>31</v>
      </c>
      <c r="J1076">
        <v>596</v>
      </c>
      <c r="K1076" t="s">
        <v>89</v>
      </c>
      <c r="N1076">
        <v>3</v>
      </c>
      <c r="O1076">
        <v>0.43490000000000001</v>
      </c>
      <c r="P1076" t="s">
        <v>38</v>
      </c>
      <c r="Q1076" s="1">
        <v>1</v>
      </c>
      <c r="R1076" t="s">
        <v>1272</v>
      </c>
      <c r="S1076" t="str">
        <f t="shared" si="3"/>
        <v>Phù hợp 1 phần</v>
      </c>
    </row>
    <row r="1077" spans="1:19" hidden="1" x14ac:dyDescent="0.3">
      <c r="A1077" t="s">
        <v>1041</v>
      </c>
      <c r="B1077" t="s">
        <v>1042</v>
      </c>
      <c r="C1077" t="s">
        <v>944</v>
      </c>
      <c r="D1077">
        <v>14684</v>
      </c>
      <c r="E1077" t="s">
        <v>847</v>
      </c>
      <c r="F1077" t="s">
        <v>60</v>
      </c>
      <c r="G1077" t="s">
        <v>61</v>
      </c>
      <c r="H1077" t="s">
        <v>848</v>
      </c>
      <c r="I1077" t="s">
        <v>25</v>
      </c>
      <c r="J1077">
        <v>1309</v>
      </c>
      <c r="K1077" t="s">
        <v>849</v>
      </c>
      <c r="L1077">
        <v>4</v>
      </c>
      <c r="M1077">
        <v>9.5680999999999994</v>
      </c>
      <c r="N1077">
        <v>5</v>
      </c>
      <c r="O1077">
        <v>0.4254</v>
      </c>
      <c r="P1077" t="s">
        <v>27</v>
      </c>
      <c r="Q1077" s="1">
        <v>1</v>
      </c>
      <c r="R1077" t="s">
        <v>1272</v>
      </c>
      <c r="S1077" t="str">
        <f t="shared" si="3"/>
        <v>Phù hợp 1 phần</v>
      </c>
    </row>
    <row r="1078" spans="1:19" hidden="1" x14ac:dyDescent="0.3">
      <c r="A1078" t="s">
        <v>1041</v>
      </c>
      <c r="B1078" t="s">
        <v>1042</v>
      </c>
      <c r="C1078" t="s">
        <v>944</v>
      </c>
      <c r="D1078">
        <v>15013</v>
      </c>
      <c r="E1078" t="s">
        <v>59</v>
      </c>
      <c r="F1078" t="s">
        <v>60</v>
      </c>
      <c r="G1078" t="s">
        <v>61</v>
      </c>
      <c r="H1078" t="s">
        <v>62</v>
      </c>
      <c r="I1078" t="s">
        <v>25</v>
      </c>
      <c r="J1078">
        <v>550</v>
      </c>
      <c r="K1078" t="s">
        <v>63</v>
      </c>
      <c r="N1078">
        <v>4</v>
      </c>
      <c r="O1078">
        <v>0.42809999999999998</v>
      </c>
      <c r="P1078" t="s">
        <v>38</v>
      </c>
      <c r="Q1078" s="1">
        <v>1</v>
      </c>
      <c r="R1078" t="s">
        <v>1272</v>
      </c>
      <c r="S1078" t="str">
        <f t="shared" si="3"/>
        <v>Phù hợp 1 phần</v>
      </c>
    </row>
    <row r="1079" spans="1:19" hidden="1" x14ac:dyDescent="0.3">
      <c r="A1079" t="s">
        <v>1041</v>
      </c>
      <c r="B1079" t="s">
        <v>1042</v>
      </c>
      <c r="C1079" t="s">
        <v>944</v>
      </c>
      <c r="D1079">
        <v>16838</v>
      </c>
      <c r="E1079" t="s">
        <v>129</v>
      </c>
      <c r="F1079" t="s">
        <v>60</v>
      </c>
      <c r="G1079" t="s">
        <v>130</v>
      </c>
      <c r="H1079" t="s">
        <v>131</v>
      </c>
      <c r="I1079" t="s">
        <v>31</v>
      </c>
      <c r="J1079">
        <v>3435</v>
      </c>
      <c r="K1079" t="s">
        <v>132</v>
      </c>
      <c r="L1079">
        <v>5</v>
      </c>
      <c r="M1079">
        <v>9.5632999999999999</v>
      </c>
      <c r="P1079" t="s">
        <v>33</v>
      </c>
      <c r="Q1079" s="1">
        <v>0</v>
      </c>
      <c r="R1079" t="s">
        <v>1272</v>
      </c>
      <c r="S1079" t="str">
        <f t="shared" si="3"/>
        <v>ko hợp</v>
      </c>
    </row>
    <row r="1080" spans="1:19" hidden="1" x14ac:dyDescent="0.3">
      <c r="A1080" t="s">
        <v>1041</v>
      </c>
      <c r="B1080" t="s">
        <v>1042</v>
      </c>
      <c r="C1080" t="s">
        <v>944</v>
      </c>
      <c r="D1080">
        <v>18937</v>
      </c>
      <c r="E1080" t="s">
        <v>68</v>
      </c>
      <c r="F1080" t="s">
        <v>69</v>
      </c>
      <c r="G1080" t="s">
        <v>70</v>
      </c>
      <c r="H1080" t="s">
        <v>71</v>
      </c>
      <c r="I1080" t="s">
        <v>31</v>
      </c>
      <c r="J1080">
        <v>3317</v>
      </c>
      <c r="K1080" t="s">
        <v>72</v>
      </c>
      <c r="L1080">
        <v>6</v>
      </c>
      <c r="M1080">
        <v>9.5054999999999996</v>
      </c>
      <c r="P1080" t="s">
        <v>33</v>
      </c>
      <c r="Q1080" s="1">
        <v>0</v>
      </c>
      <c r="R1080" t="s">
        <v>1272</v>
      </c>
      <c r="S1080" t="str">
        <f t="shared" si="3"/>
        <v>ko hợp</v>
      </c>
    </row>
    <row r="1081" spans="1:19" hidden="1" x14ac:dyDescent="0.3">
      <c r="A1081" t="s">
        <v>1041</v>
      </c>
      <c r="B1081" t="s">
        <v>1042</v>
      </c>
      <c r="C1081" t="s">
        <v>944</v>
      </c>
      <c r="D1081">
        <v>20259</v>
      </c>
      <c r="E1081" t="s">
        <v>49</v>
      </c>
      <c r="F1081" t="s">
        <v>50</v>
      </c>
      <c r="G1081" t="s">
        <v>51</v>
      </c>
      <c r="H1081" t="s">
        <v>52</v>
      </c>
      <c r="I1081" t="s">
        <v>25</v>
      </c>
      <c r="J1081">
        <v>313</v>
      </c>
      <c r="K1081" t="s">
        <v>53</v>
      </c>
      <c r="N1081">
        <v>6</v>
      </c>
      <c r="O1081">
        <v>0.42049999999999998</v>
      </c>
      <c r="P1081" t="s">
        <v>38</v>
      </c>
      <c r="Q1081" s="1">
        <v>0</v>
      </c>
      <c r="R1081" t="s">
        <v>1272</v>
      </c>
      <c r="S1081" t="str">
        <f t="shared" si="3"/>
        <v>ko hợp</v>
      </c>
    </row>
    <row r="1082" spans="1:19" hidden="1" x14ac:dyDescent="0.3">
      <c r="A1082" t="s">
        <v>1041</v>
      </c>
      <c r="B1082" t="s">
        <v>1042</v>
      </c>
      <c r="C1082" t="s">
        <v>944</v>
      </c>
      <c r="D1082">
        <v>1063</v>
      </c>
      <c r="E1082" t="s">
        <v>866</v>
      </c>
      <c r="F1082" t="s">
        <v>155</v>
      </c>
      <c r="G1082" t="s">
        <v>867</v>
      </c>
      <c r="H1082" t="s">
        <v>868</v>
      </c>
      <c r="I1082" t="s">
        <v>25</v>
      </c>
      <c r="J1082">
        <v>224</v>
      </c>
      <c r="K1082" t="s">
        <v>869</v>
      </c>
      <c r="N1082">
        <v>7</v>
      </c>
      <c r="O1082">
        <v>0.41970000000000002</v>
      </c>
      <c r="P1082" t="s">
        <v>38</v>
      </c>
      <c r="Q1082" s="1">
        <v>0</v>
      </c>
      <c r="R1082" t="s">
        <v>1272</v>
      </c>
      <c r="S1082" t="str">
        <f t="shared" si="3"/>
        <v>ko hợp</v>
      </c>
    </row>
    <row r="1083" spans="1:19" hidden="1" x14ac:dyDescent="0.3">
      <c r="A1083" t="s">
        <v>1041</v>
      </c>
      <c r="B1083" t="s">
        <v>1042</v>
      </c>
      <c r="C1083" t="s">
        <v>944</v>
      </c>
      <c r="D1083">
        <v>20772</v>
      </c>
      <c r="E1083" t="s">
        <v>292</v>
      </c>
      <c r="F1083" t="s">
        <v>293</v>
      </c>
      <c r="G1083" t="s">
        <v>41</v>
      </c>
      <c r="H1083" t="s">
        <v>294</v>
      </c>
      <c r="I1083" t="s">
        <v>25</v>
      </c>
      <c r="J1083">
        <v>787</v>
      </c>
      <c r="K1083" t="s">
        <v>295</v>
      </c>
      <c r="L1083">
        <v>8</v>
      </c>
      <c r="M1083">
        <v>9.1273999999999997</v>
      </c>
      <c r="P1083" t="s">
        <v>33</v>
      </c>
      <c r="Q1083" s="1">
        <v>0</v>
      </c>
      <c r="R1083" t="s">
        <v>1272</v>
      </c>
      <c r="S1083" t="str">
        <f t="shared" si="3"/>
        <v>ko hợp</v>
      </c>
    </row>
    <row r="1084" spans="1:19" hidden="1" x14ac:dyDescent="0.3">
      <c r="A1084" t="s">
        <v>1041</v>
      </c>
      <c r="B1084" t="s">
        <v>1042</v>
      </c>
      <c r="C1084" t="s">
        <v>944</v>
      </c>
      <c r="D1084">
        <v>20773</v>
      </c>
      <c r="E1084" t="s">
        <v>109</v>
      </c>
      <c r="F1084" t="s">
        <v>60</v>
      </c>
      <c r="G1084" t="s">
        <v>41</v>
      </c>
      <c r="H1084" t="s">
        <v>110</v>
      </c>
      <c r="I1084" t="s">
        <v>25</v>
      </c>
      <c r="J1084">
        <v>1156</v>
      </c>
      <c r="K1084" t="s">
        <v>111</v>
      </c>
      <c r="N1084">
        <v>8</v>
      </c>
      <c r="O1084">
        <v>0.4138</v>
      </c>
      <c r="P1084" t="s">
        <v>38</v>
      </c>
      <c r="Q1084" s="1">
        <v>0</v>
      </c>
      <c r="R1084" t="s">
        <v>1272</v>
      </c>
      <c r="S1084" t="str">
        <f t="shared" si="3"/>
        <v>ko hợp</v>
      </c>
    </row>
    <row r="1085" spans="1:19" hidden="1" x14ac:dyDescent="0.3">
      <c r="A1085" t="s">
        <v>1041</v>
      </c>
      <c r="B1085" t="s">
        <v>1042</v>
      </c>
      <c r="C1085" t="s">
        <v>944</v>
      </c>
      <c r="D1085">
        <v>12428</v>
      </c>
      <c r="E1085" t="s">
        <v>850</v>
      </c>
      <c r="F1085" t="s">
        <v>74</v>
      </c>
      <c r="G1085" t="s">
        <v>151</v>
      </c>
      <c r="H1085" t="s">
        <v>851</v>
      </c>
      <c r="I1085" t="s">
        <v>31</v>
      </c>
      <c r="J1085">
        <v>891</v>
      </c>
      <c r="K1085" t="s">
        <v>852</v>
      </c>
      <c r="L1085">
        <v>9</v>
      </c>
      <c r="M1085">
        <v>9.0792999999999999</v>
      </c>
      <c r="P1085" t="s">
        <v>33</v>
      </c>
      <c r="Q1085" s="1">
        <v>0</v>
      </c>
      <c r="R1085" t="s">
        <v>1272</v>
      </c>
      <c r="S1085" t="str">
        <f t="shared" si="3"/>
        <v>ko hợp</v>
      </c>
    </row>
    <row r="1086" spans="1:19" hidden="1" x14ac:dyDescent="0.3">
      <c r="A1086" t="s">
        <v>1041</v>
      </c>
      <c r="B1086" t="s">
        <v>1042</v>
      </c>
      <c r="C1086" t="s">
        <v>944</v>
      </c>
      <c r="D1086">
        <v>12531</v>
      </c>
      <c r="E1086" t="s">
        <v>853</v>
      </c>
      <c r="F1086" t="s">
        <v>55</v>
      </c>
      <c r="G1086" t="s">
        <v>130</v>
      </c>
      <c r="H1086" t="s">
        <v>854</v>
      </c>
      <c r="I1086" t="s">
        <v>31</v>
      </c>
      <c r="J1086">
        <v>4074</v>
      </c>
      <c r="K1086" t="s">
        <v>855</v>
      </c>
      <c r="N1086">
        <v>9</v>
      </c>
      <c r="O1086">
        <v>0.41270000000000001</v>
      </c>
      <c r="P1086" t="s">
        <v>38</v>
      </c>
      <c r="Q1086" s="1">
        <v>0</v>
      </c>
      <c r="R1086" t="s">
        <v>1272</v>
      </c>
      <c r="S1086" t="str">
        <f t="shared" si="3"/>
        <v>ko hợp</v>
      </c>
    </row>
    <row r="1087" spans="1:19" hidden="1" x14ac:dyDescent="0.3">
      <c r="A1087" t="s">
        <v>1041</v>
      </c>
      <c r="B1087" t="s">
        <v>1042</v>
      </c>
      <c r="C1087" t="s">
        <v>944</v>
      </c>
      <c r="D1087">
        <v>16145</v>
      </c>
      <c r="E1087" t="s">
        <v>182</v>
      </c>
      <c r="F1087" t="s">
        <v>155</v>
      </c>
      <c r="G1087" t="s">
        <v>183</v>
      </c>
      <c r="H1087" t="s">
        <v>184</v>
      </c>
      <c r="I1087" t="s">
        <v>31</v>
      </c>
      <c r="J1087">
        <v>2447</v>
      </c>
      <c r="K1087" t="s">
        <v>185</v>
      </c>
      <c r="L1087">
        <v>10</v>
      </c>
      <c r="M1087">
        <v>8.9840999999999998</v>
      </c>
      <c r="P1087" t="s">
        <v>33</v>
      </c>
      <c r="Q1087" s="1">
        <v>0</v>
      </c>
      <c r="R1087" t="s">
        <v>1272</v>
      </c>
      <c r="S1087" t="str">
        <f t="shared" si="3"/>
        <v>ko hợp</v>
      </c>
    </row>
    <row r="1088" spans="1:19" hidden="1" x14ac:dyDescent="0.3">
      <c r="A1088" t="s">
        <v>1043</v>
      </c>
      <c r="B1088" t="s">
        <v>1044</v>
      </c>
      <c r="C1088" t="s">
        <v>944</v>
      </c>
      <c r="D1088">
        <v>16100</v>
      </c>
      <c r="E1088" t="s">
        <v>732</v>
      </c>
      <c r="F1088" t="s">
        <v>155</v>
      </c>
      <c r="G1088" t="s">
        <v>472</v>
      </c>
      <c r="H1088" t="s">
        <v>733</v>
      </c>
      <c r="I1088" t="s">
        <v>31</v>
      </c>
      <c r="J1088">
        <v>1444</v>
      </c>
      <c r="K1088" t="s">
        <v>734</v>
      </c>
      <c r="L1088">
        <v>1</v>
      </c>
      <c r="M1088">
        <v>11.6419</v>
      </c>
      <c r="N1088">
        <v>1</v>
      </c>
      <c r="O1088">
        <v>0.50839999999999996</v>
      </c>
      <c r="P1088" t="s">
        <v>27</v>
      </c>
      <c r="Q1088" s="1">
        <v>2</v>
      </c>
      <c r="R1088" t="s">
        <v>1272</v>
      </c>
      <c r="S1088" t="str">
        <f t="shared" si="3"/>
        <v>ok</v>
      </c>
    </row>
    <row r="1089" spans="1:19" hidden="1" x14ac:dyDescent="0.3">
      <c r="A1089" t="s">
        <v>1043</v>
      </c>
      <c r="B1089" t="s">
        <v>1044</v>
      </c>
      <c r="C1089" t="s">
        <v>944</v>
      </c>
      <c r="D1089">
        <v>6637</v>
      </c>
      <c r="E1089" t="s">
        <v>735</v>
      </c>
      <c r="F1089" t="s">
        <v>60</v>
      </c>
      <c r="G1089" t="s">
        <v>736</v>
      </c>
      <c r="H1089" t="s">
        <v>737</v>
      </c>
      <c r="I1089" t="s">
        <v>25</v>
      </c>
      <c r="J1089">
        <v>1382</v>
      </c>
      <c r="K1089" t="s">
        <v>738</v>
      </c>
      <c r="N1089">
        <v>2</v>
      </c>
      <c r="O1089">
        <v>0.46429999999999999</v>
      </c>
      <c r="P1089" t="s">
        <v>38</v>
      </c>
      <c r="Q1089" s="1">
        <v>0</v>
      </c>
      <c r="R1089" t="s">
        <v>1272</v>
      </c>
      <c r="S1089" t="str">
        <f t="shared" si="3"/>
        <v>ko hợp</v>
      </c>
    </row>
    <row r="1090" spans="1:19" hidden="1" x14ac:dyDescent="0.3">
      <c r="A1090" t="s">
        <v>1043</v>
      </c>
      <c r="B1090" t="s">
        <v>1044</v>
      </c>
      <c r="C1090" t="s">
        <v>944</v>
      </c>
      <c r="D1090">
        <v>19710</v>
      </c>
      <c r="E1090" t="s">
        <v>199</v>
      </c>
      <c r="F1090" t="s">
        <v>200</v>
      </c>
      <c r="G1090" t="s">
        <v>201</v>
      </c>
      <c r="H1090" t="s">
        <v>202</v>
      </c>
      <c r="I1090" t="s">
        <v>31</v>
      </c>
      <c r="J1090">
        <v>262</v>
      </c>
      <c r="K1090" t="s">
        <v>203</v>
      </c>
      <c r="L1090">
        <v>2</v>
      </c>
      <c r="M1090">
        <v>9.2715999999999994</v>
      </c>
      <c r="P1090" t="s">
        <v>33</v>
      </c>
      <c r="Q1090" s="1">
        <v>0</v>
      </c>
      <c r="R1090" t="s">
        <v>1272</v>
      </c>
      <c r="S1090" t="str">
        <f t="shared" si="3"/>
        <v>ko hợp</v>
      </c>
    </row>
    <row r="1091" spans="1:19" hidden="1" x14ac:dyDescent="0.3">
      <c r="A1091" t="s">
        <v>1043</v>
      </c>
      <c r="B1091" t="s">
        <v>1044</v>
      </c>
      <c r="C1091" t="s">
        <v>944</v>
      </c>
      <c r="D1091">
        <v>13739</v>
      </c>
      <c r="E1091" t="s">
        <v>358</v>
      </c>
      <c r="F1091" t="s">
        <v>288</v>
      </c>
      <c r="G1091" t="s">
        <v>359</v>
      </c>
      <c r="H1091" t="s">
        <v>360</v>
      </c>
      <c r="I1091" t="s">
        <v>31</v>
      </c>
      <c r="J1091">
        <v>610</v>
      </c>
      <c r="K1091" t="s">
        <v>361</v>
      </c>
      <c r="N1091">
        <v>3</v>
      </c>
      <c r="O1091">
        <v>0.44650000000000001</v>
      </c>
      <c r="P1091" t="s">
        <v>38</v>
      </c>
      <c r="Q1091" s="1">
        <v>1</v>
      </c>
      <c r="R1091" t="s">
        <v>1272</v>
      </c>
      <c r="S1091" t="str">
        <f t="shared" si="3"/>
        <v>Phù hợp 1 phần</v>
      </c>
    </row>
    <row r="1092" spans="1:19" hidden="1" x14ac:dyDescent="0.3">
      <c r="A1092" t="s">
        <v>1043</v>
      </c>
      <c r="B1092" t="s">
        <v>1044</v>
      </c>
      <c r="C1092" t="s">
        <v>944</v>
      </c>
      <c r="D1092">
        <v>14198</v>
      </c>
      <c r="E1092" t="s">
        <v>73</v>
      </c>
      <c r="F1092" t="s">
        <v>74</v>
      </c>
      <c r="G1092" t="s">
        <v>75</v>
      </c>
      <c r="H1092" t="s">
        <v>76</v>
      </c>
      <c r="I1092" t="s">
        <v>31</v>
      </c>
      <c r="J1092">
        <v>377</v>
      </c>
      <c r="K1092" t="s">
        <v>77</v>
      </c>
      <c r="L1092">
        <v>3</v>
      </c>
      <c r="M1092">
        <v>8.6675000000000004</v>
      </c>
      <c r="N1092">
        <v>10</v>
      </c>
      <c r="O1092">
        <v>0.41899999999999998</v>
      </c>
      <c r="P1092" t="s">
        <v>27</v>
      </c>
      <c r="Q1092" s="1">
        <v>0</v>
      </c>
      <c r="R1092" t="s">
        <v>1272</v>
      </c>
      <c r="S1092" t="str">
        <f t="shared" si="3"/>
        <v>ko hợp</v>
      </c>
    </row>
    <row r="1093" spans="1:19" hidden="1" x14ac:dyDescent="0.3">
      <c r="A1093" t="s">
        <v>1043</v>
      </c>
      <c r="B1093" t="s">
        <v>1044</v>
      </c>
      <c r="C1093" t="s">
        <v>944</v>
      </c>
      <c r="D1093">
        <v>17650</v>
      </c>
      <c r="E1093" t="s">
        <v>195</v>
      </c>
      <c r="F1093" t="s">
        <v>155</v>
      </c>
      <c r="G1093" t="s">
        <v>196</v>
      </c>
      <c r="H1093" t="s">
        <v>197</v>
      </c>
      <c r="I1093" t="s">
        <v>25</v>
      </c>
      <c r="J1093">
        <v>700</v>
      </c>
      <c r="K1093" t="s">
        <v>198</v>
      </c>
      <c r="L1093">
        <v>4</v>
      </c>
      <c r="M1093">
        <v>8.4430999999999994</v>
      </c>
      <c r="P1093" t="s">
        <v>33</v>
      </c>
      <c r="Q1093" s="1">
        <v>1</v>
      </c>
      <c r="R1093" t="s">
        <v>1272</v>
      </c>
      <c r="S1093" t="str">
        <f t="shared" si="3"/>
        <v>Phù hợp 1 phần</v>
      </c>
    </row>
    <row r="1094" spans="1:19" hidden="1" x14ac:dyDescent="0.3">
      <c r="A1094" t="s">
        <v>1043</v>
      </c>
      <c r="B1094" t="s">
        <v>1044</v>
      </c>
      <c r="C1094" t="s">
        <v>944</v>
      </c>
      <c r="D1094">
        <v>20775</v>
      </c>
      <c r="E1094" t="s">
        <v>368</v>
      </c>
      <c r="F1094" t="s">
        <v>369</v>
      </c>
      <c r="G1094" t="s">
        <v>41</v>
      </c>
      <c r="H1094" t="s">
        <v>370</v>
      </c>
      <c r="I1094" t="s">
        <v>25</v>
      </c>
      <c r="J1094">
        <v>912</v>
      </c>
      <c r="K1094" t="s">
        <v>371</v>
      </c>
      <c r="N1094">
        <v>4</v>
      </c>
      <c r="O1094">
        <v>0.43940000000000001</v>
      </c>
      <c r="P1094" t="s">
        <v>38</v>
      </c>
      <c r="Q1094" s="1">
        <v>0</v>
      </c>
      <c r="R1094" t="s">
        <v>1272</v>
      </c>
      <c r="S1094" t="str">
        <f t="shared" si="3"/>
        <v>ko hợp</v>
      </c>
    </row>
    <row r="1095" spans="1:19" hidden="1" x14ac:dyDescent="0.3">
      <c r="A1095" t="s">
        <v>1043</v>
      </c>
      <c r="B1095" t="s">
        <v>1044</v>
      </c>
      <c r="C1095" t="s">
        <v>944</v>
      </c>
      <c r="D1095">
        <v>1063</v>
      </c>
      <c r="E1095" t="s">
        <v>866</v>
      </c>
      <c r="F1095" t="s">
        <v>155</v>
      </c>
      <c r="G1095" t="s">
        <v>867</v>
      </c>
      <c r="H1095" t="s">
        <v>868</v>
      </c>
      <c r="I1095" t="s">
        <v>25</v>
      </c>
      <c r="J1095">
        <v>224</v>
      </c>
      <c r="K1095" t="s">
        <v>869</v>
      </c>
      <c r="N1095">
        <v>5</v>
      </c>
      <c r="O1095">
        <v>0.43890000000000001</v>
      </c>
      <c r="P1095" t="s">
        <v>38</v>
      </c>
      <c r="Q1095" s="1">
        <v>2</v>
      </c>
      <c r="R1095" t="s">
        <v>1272</v>
      </c>
      <c r="S1095" t="str">
        <f t="shared" si="3"/>
        <v>ok</v>
      </c>
    </row>
    <row r="1096" spans="1:19" hidden="1" x14ac:dyDescent="0.3">
      <c r="A1096" t="s">
        <v>1043</v>
      </c>
      <c r="B1096" t="s">
        <v>1044</v>
      </c>
      <c r="C1096" t="s">
        <v>944</v>
      </c>
      <c r="D1096">
        <v>17649</v>
      </c>
      <c r="E1096" t="s">
        <v>209</v>
      </c>
      <c r="F1096" t="s">
        <v>155</v>
      </c>
      <c r="G1096" t="s">
        <v>210</v>
      </c>
      <c r="H1096" t="s">
        <v>211</v>
      </c>
      <c r="I1096" t="s">
        <v>31</v>
      </c>
      <c r="J1096">
        <v>471</v>
      </c>
      <c r="K1096" t="s">
        <v>212</v>
      </c>
      <c r="L1096">
        <v>5</v>
      </c>
      <c r="M1096">
        <v>8.0146999999999995</v>
      </c>
      <c r="P1096" t="s">
        <v>33</v>
      </c>
      <c r="Q1096" s="1">
        <v>1</v>
      </c>
      <c r="R1096" t="s">
        <v>1272</v>
      </c>
      <c r="S1096" t="str">
        <f t="shared" si="3"/>
        <v>Phù hợp 1 phần</v>
      </c>
    </row>
    <row r="1097" spans="1:19" hidden="1" x14ac:dyDescent="0.3">
      <c r="A1097" t="s">
        <v>1043</v>
      </c>
      <c r="B1097" t="s">
        <v>1044</v>
      </c>
      <c r="C1097" t="s">
        <v>944</v>
      </c>
      <c r="D1097">
        <v>2385</v>
      </c>
      <c r="E1097" t="s">
        <v>284</v>
      </c>
      <c r="F1097" t="s">
        <v>60</v>
      </c>
      <c r="G1097" t="s">
        <v>41</v>
      </c>
      <c r="H1097" t="s">
        <v>285</v>
      </c>
      <c r="I1097" t="s">
        <v>25</v>
      </c>
      <c r="J1097">
        <v>1160</v>
      </c>
      <c r="K1097" t="s">
        <v>286</v>
      </c>
      <c r="N1097">
        <v>6</v>
      </c>
      <c r="O1097">
        <v>0.42320000000000002</v>
      </c>
      <c r="P1097" t="s">
        <v>38</v>
      </c>
      <c r="Q1097" s="1">
        <v>0</v>
      </c>
      <c r="R1097" t="s">
        <v>1272</v>
      </c>
      <c r="S1097" t="str">
        <f t="shared" si="3"/>
        <v>ko hợp</v>
      </c>
    </row>
    <row r="1098" spans="1:19" hidden="1" x14ac:dyDescent="0.3">
      <c r="A1098" t="s">
        <v>1043</v>
      </c>
      <c r="B1098" t="s">
        <v>1044</v>
      </c>
      <c r="C1098" t="s">
        <v>944</v>
      </c>
      <c r="D1098">
        <v>19982</v>
      </c>
      <c r="E1098" t="s">
        <v>28</v>
      </c>
      <c r="F1098" t="s">
        <v>22</v>
      </c>
      <c r="G1098" t="s">
        <v>29</v>
      </c>
      <c r="H1098" t="s">
        <v>30</v>
      </c>
      <c r="I1098" t="s">
        <v>31</v>
      </c>
      <c r="J1098">
        <v>543</v>
      </c>
      <c r="K1098" t="s">
        <v>32</v>
      </c>
      <c r="L1098">
        <v>6</v>
      </c>
      <c r="M1098">
        <v>8.0100999999999996</v>
      </c>
      <c r="P1098" t="s">
        <v>33</v>
      </c>
      <c r="Q1098" s="1">
        <v>0</v>
      </c>
      <c r="R1098" t="s">
        <v>1272</v>
      </c>
      <c r="S1098" t="str">
        <f t="shared" si="3"/>
        <v>ko hợp</v>
      </c>
    </row>
    <row r="1099" spans="1:19" hidden="1" x14ac:dyDescent="0.3">
      <c r="A1099" t="s">
        <v>1043</v>
      </c>
      <c r="B1099" t="s">
        <v>1044</v>
      </c>
      <c r="C1099" t="s">
        <v>944</v>
      </c>
      <c r="D1099">
        <v>4828</v>
      </c>
      <c r="E1099" t="s">
        <v>54</v>
      </c>
      <c r="F1099" t="s">
        <v>55</v>
      </c>
      <c r="G1099" t="s">
        <v>56</v>
      </c>
      <c r="H1099" t="s">
        <v>57</v>
      </c>
      <c r="I1099" t="s">
        <v>25</v>
      </c>
      <c r="J1099">
        <v>546</v>
      </c>
      <c r="K1099" t="s">
        <v>58</v>
      </c>
      <c r="L1099">
        <v>7</v>
      </c>
      <c r="M1099">
        <v>7.6916000000000002</v>
      </c>
      <c r="P1099" t="s">
        <v>33</v>
      </c>
      <c r="Q1099" s="1">
        <v>0</v>
      </c>
      <c r="R1099" t="s">
        <v>1272</v>
      </c>
      <c r="S1099" t="str">
        <f t="shared" si="3"/>
        <v>ko hợp</v>
      </c>
    </row>
    <row r="1100" spans="1:19" hidden="1" x14ac:dyDescent="0.3">
      <c r="A1100" t="s">
        <v>1043</v>
      </c>
      <c r="B1100" t="s">
        <v>1044</v>
      </c>
      <c r="C1100" t="s">
        <v>944</v>
      </c>
      <c r="D1100">
        <v>16395</v>
      </c>
      <c r="E1100" t="s">
        <v>657</v>
      </c>
      <c r="F1100" t="s">
        <v>155</v>
      </c>
      <c r="G1100" t="s">
        <v>658</v>
      </c>
      <c r="H1100" t="s">
        <v>659</v>
      </c>
      <c r="I1100" t="s">
        <v>25</v>
      </c>
      <c r="J1100">
        <v>1358</v>
      </c>
      <c r="K1100" t="s">
        <v>660</v>
      </c>
      <c r="N1100">
        <v>7</v>
      </c>
      <c r="O1100">
        <v>0.4229</v>
      </c>
      <c r="P1100" t="s">
        <v>38</v>
      </c>
      <c r="Q1100" s="1">
        <v>0</v>
      </c>
      <c r="R1100" t="s">
        <v>1272</v>
      </c>
      <c r="S1100" t="str">
        <f t="shared" si="3"/>
        <v>ko hợp</v>
      </c>
    </row>
    <row r="1101" spans="1:19" hidden="1" x14ac:dyDescent="0.3">
      <c r="A1101" t="s">
        <v>1043</v>
      </c>
      <c r="B1101" t="s">
        <v>1044</v>
      </c>
      <c r="C1101" t="s">
        <v>944</v>
      </c>
      <c r="D1101">
        <v>18117</v>
      </c>
      <c r="E1101" t="s">
        <v>1045</v>
      </c>
      <c r="F1101" t="s">
        <v>60</v>
      </c>
      <c r="G1101" t="s">
        <v>1046</v>
      </c>
      <c r="H1101" t="s">
        <v>1047</v>
      </c>
      <c r="I1101" t="s">
        <v>31</v>
      </c>
      <c r="J1101">
        <v>316</v>
      </c>
      <c r="K1101" t="s">
        <v>1048</v>
      </c>
      <c r="L1101">
        <v>8</v>
      </c>
      <c r="M1101">
        <v>7.59</v>
      </c>
      <c r="P1101" t="s">
        <v>33</v>
      </c>
      <c r="Q1101" s="1">
        <v>1</v>
      </c>
      <c r="R1101" t="s">
        <v>1272</v>
      </c>
      <c r="S1101" t="str">
        <f t="shared" ref="S1101:S1164" si="4">IF(Q1101=2,"ok",IF(Q1101=1,"Phù hợp 1 phần", "ko hợp"))</f>
        <v>Phù hợp 1 phần</v>
      </c>
    </row>
    <row r="1102" spans="1:19" hidden="1" x14ac:dyDescent="0.3">
      <c r="A1102" t="s">
        <v>1043</v>
      </c>
      <c r="B1102" t="s">
        <v>1044</v>
      </c>
      <c r="C1102" t="s">
        <v>944</v>
      </c>
      <c r="D1102">
        <v>19992</v>
      </c>
      <c r="E1102" t="s">
        <v>408</v>
      </c>
      <c r="F1102" t="s">
        <v>22</v>
      </c>
      <c r="G1102" t="s">
        <v>409</v>
      </c>
      <c r="H1102" t="s">
        <v>410</v>
      </c>
      <c r="I1102" t="s">
        <v>31</v>
      </c>
      <c r="J1102">
        <v>553</v>
      </c>
      <c r="K1102" t="s">
        <v>411</v>
      </c>
      <c r="N1102">
        <v>8</v>
      </c>
      <c r="O1102">
        <v>0.42070000000000002</v>
      </c>
      <c r="P1102" t="s">
        <v>38</v>
      </c>
      <c r="Q1102" s="1">
        <v>1</v>
      </c>
      <c r="R1102" t="s">
        <v>1272</v>
      </c>
      <c r="S1102" t="str">
        <f t="shared" si="4"/>
        <v>Phù hợp 1 phần</v>
      </c>
    </row>
    <row r="1103" spans="1:19" hidden="1" x14ac:dyDescent="0.3">
      <c r="A1103" t="s">
        <v>1043</v>
      </c>
      <c r="B1103" t="s">
        <v>1044</v>
      </c>
      <c r="C1103" t="s">
        <v>944</v>
      </c>
      <c r="D1103">
        <v>12554</v>
      </c>
      <c r="E1103" t="s">
        <v>1049</v>
      </c>
      <c r="F1103" t="s">
        <v>60</v>
      </c>
      <c r="G1103" t="s">
        <v>922</v>
      </c>
      <c r="H1103" t="s">
        <v>1050</v>
      </c>
      <c r="I1103" t="s">
        <v>31</v>
      </c>
      <c r="J1103">
        <v>2545</v>
      </c>
      <c r="K1103" t="s">
        <v>1051</v>
      </c>
      <c r="N1103">
        <v>9</v>
      </c>
      <c r="O1103">
        <v>0.41909999999999997</v>
      </c>
      <c r="P1103" t="s">
        <v>38</v>
      </c>
      <c r="Q1103" s="1">
        <v>1</v>
      </c>
      <c r="R1103" t="s">
        <v>1272</v>
      </c>
      <c r="S1103" t="str">
        <f t="shared" si="4"/>
        <v>Phù hợp 1 phần</v>
      </c>
    </row>
    <row r="1104" spans="1:19" hidden="1" x14ac:dyDescent="0.3">
      <c r="A1104" t="s">
        <v>1043</v>
      </c>
      <c r="B1104" t="s">
        <v>1044</v>
      </c>
      <c r="C1104" t="s">
        <v>944</v>
      </c>
      <c r="D1104">
        <v>17770</v>
      </c>
      <c r="E1104" t="s">
        <v>862</v>
      </c>
      <c r="F1104" t="s">
        <v>60</v>
      </c>
      <c r="G1104" t="s">
        <v>863</v>
      </c>
      <c r="H1104" t="s">
        <v>864</v>
      </c>
      <c r="I1104" t="s">
        <v>31</v>
      </c>
      <c r="J1104">
        <v>499</v>
      </c>
      <c r="K1104" t="s">
        <v>865</v>
      </c>
      <c r="L1104">
        <v>9</v>
      </c>
      <c r="M1104">
        <v>7.1733000000000002</v>
      </c>
      <c r="P1104" t="s">
        <v>33</v>
      </c>
      <c r="Q1104" s="1">
        <v>2</v>
      </c>
      <c r="R1104" t="s">
        <v>1272</v>
      </c>
      <c r="S1104" t="str">
        <f t="shared" si="4"/>
        <v>ok</v>
      </c>
    </row>
    <row r="1105" spans="1:19" hidden="1" x14ac:dyDescent="0.3">
      <c r="A1105" t="s">
        <v>1043</v>
      </c>
      <c r="B1105" t="s">
        <v>1044</v>
      </c>
      <c r="C1105" t="s">
        <v>944</v>
      </c>
      <c r="D1105">
        <v>12603</v>
      </c>
      <c r="E1105" t="s">
        <v>1052</v>
      </c>
      <c r="F1105" t="s">
        <v>155</v>
      </c>
      <c r="G1105" t="s">
        <v>863</v>
      </c>
      <c r="H1105" t="s">
        <v>1053</v>
      </c>
      <c r="I1105" t="s">
        <v>31</v>
      </c>
      <c r="J1105">
        <v>1804</v>
      </c>
      <c r="K1105" t="s">
        <v>1054</v>
      </c>
      <c r="L1105">
        <v>10</v>
      </c>
      <c r="M1105">
        <v>6.9715999999999996</v>
      </c>
      <c r="P1105" t="s">
        <v>33</v>
      </c>
      <c r="Q1105" s="1">
        <v>2</v>
      </c>
      <c r="R1105" t="s">
        <v>1272</v>
      </c>
      <c r="S1105" t="str">
        <f t="shared" si="4"/>
        <v>ok</v>
      </c>
    </row>
    <row r="1106" spans="1:19" hidden="1" x14ac:dyDescent="0.3">
      <c r="A1106" t="s">
        <v>1055</v>
      </c>
      <c r="B1106" t="s">
        <v>1056</v>
      </c>
      <c r="C1106" t="s">
        <v>944</v>
      </c>
      <c r="D1106">
        <v>171</v>
      </c>
      <c r="E1106" t="s">
        <v>102</v>
      </c>
      <c r="F1106" t="s">
        <v>103</v>
      </c>
      <c r="G1106" t="s">
        <v>104</v>
      </c>
      <c r="H1106" t="s">
        <v>105</v>
      </c>
      <c r="I1106" t="s">
        <v>31</v>
      </c>
      <c r="J1106">
        <v>474</v>
      </c>
      <c r="K1106" t="s">
        <v>106</v>
      </c>
      <c r="N1106">
        <v>1</v>
      </c>
      <c r="O1106">
        <v>0.4425</v>
      </c>
      <c r="P1106" t="s">
        <v>38</v>
      </c>
      <c r="Q1106" s="1">
        <v>0</v>
      </c>
      <c r="R1106" t="s">
        <v>1272</v>
      </c>
      <c r="S1106" t="str">
        <f t="shared" si="4"/>
        <v>ko hợp</v>
      </c>
    </row>
    <row r="1107" spans="1:19" hidden="1" x14ac:dyDescent="0.3">
      <c r="A1107" t="s">
        <v>1055</v>
      </c>
      <c r="B1107" t="s">
        <v>1056</v>
      </c>
      <c r="C1107" t="s">
        <v>944</v>
      </c>
      <c r="D1107">
        <v>14198</v>
      </c>
      <c r="E1107" t="s">
        <v>73</v>
      </c>
      <c r="F1107" t="s">
        <v>74</v>
      </c>
      <c r="G1107" t="s">
        <v>75</v>
      </c>
      <c r="H1107" t="s">
        <v>76</v>
      </c>
      <c r="I1107" t="s">
        <v>31</v>
      </c>
      <c r="J1107">
        <v>377</v>
      </c>
      <c r="K1107" t="s">
        <v>77</v>
      </c>
      <c r="L1107">
        <v>1</v>
      </c>
      <c r="M1107">
        <v>14.6187</v>
      </c>
      <c r="N1107">
        <v>5</v>
      </c>
      <c r="O1107">
        <v>0.42180000000000001</v>
      </c>
      <c r="P1107" t="s">
        <v>27</v>
      </c>
      <c r="Q1107" s="1">
        <v>1</v>
      </c>
      <c r="R1107" t="s">
        <v>1272</v>
      </c>
      <c r="S1107" t="str">
        <f t="shared" si="4"/>
        <v>Phù hợp 1 phần</v>
      </c>
    </row>
    <row r="1108" spans="1:19" hidden="1" x14ac:dyDescent="0.3">
      <c r="A1108" t="s">
        <v>1055</v>
      </c>
      <c r="B1108" t="s">
        <v>1056</v>
      </c>
      <c r="C1108" t="s">
        <v>944</v>
      </c>
      <c r="D1108">
        <v>9820</v>
      </c>
      <c r="E1108" t="s">
        <v>150</v>
      </c>
      <c r="F1108" t="s">
        <v>60</v>
      </c>
      <c r="G1108" t="s">
        <v>151</v>
      </c>
      <c r="H1108" t="s">
        <v>152</v>
      </c>
      <c r="I1108" t="s">
        <v>25</v>
      </c>
      <c r="J1108">
        <v>2512</v>
      </c>
      <c r="K1108" t="s">
        <v>153</v>
      </c>
      <c r="N1108">
        <v>2</v>
      </c>
      <c r="O1108">
        <v>0.43080000000000002</v>
      </c>
      <c r="P1108" t="s">
        <v>38</v>
      </c>
      <c r="Q1108" s="1">
        <v>1</v>
      </c>
      <c r="R1108" t="s">
        <v>1272</v>
      </c>
      <c r="S1108" t="str">
        <f t="shared" si="4"/>
        <v>Phù hợp 1 phần</v>
      </c>
    </row>
    <row r="1109" spans="1:19" hidden="1" x14ac:dyDescent="0.3">
      <c r="A1109" t="s">
        <v>1055</v>
      </c>
      <c r="B1109" t="s">
        <v>1056</v>
      </c>
      <c r="C1109" t="s">
        <v>944</v>
      </c>
      <c r="D1109">
        <v>12428</v>
      </c>
      <c r="E1109" t="s">
        <v>850</v>
      </c>
      <c r="F1109" t="s">
        <v>74</v>
      </c>
      <c r="G1109" t="s">
        <v>151</v>
      </c>
      <c r="H1109" t="s">
        <v>851</v>
      </c>
      <c r="I1109" t="s">
        <v>31</v>
      </c>
      <c r="J1109">
        <v>891</v>
      </c>
      <c r="K1109" t="s">
        <v>852</v>
      </c>
      <c r="L1109">
        <v>2</v>
      </c>
      <c r="M1109">
        <v>10.0505</v>
      </c>
      <c r="P1109" t="s">
        <v>33</v>
      </c>
      <c r="Q1109" s="1">
        <v>1</v>
      </c>
      <c r="R1109" t="s">
        <v>1272</v>
      </c>
      <c r="S1109" t="str">
        <f t="shared" si="4"/>
        <v>Phù hợp 1 phần</v>
      </c>
    </row>
    <row r="1110" spans="1:19" hidden="1" x14ac:dyDescent="0.3">
      <c r="A1110" t="s">
        <v>1055</v>
      </c>
      <c r="B1110" t="s">
        <v>1056</v>
      </c>
      <c r="C1110" t="s">
        <v>944</v>
      </c>
      <c r="D1110">
        <v>8524</v>
      </c>
      <c r="E1110" t="s">
        <v>676</v>
      </c>
      <c r="F1110" t="s">
        <v>668</v>
      </c>
      <c r="G1110" t="s">
        <v>677</v>
      </c>
      <c r="H1110" t="s">
        <v>678</v>
      </c>
      <c r="I1110" t="s">
        <v>25</v>
      </c>
      <c r="J1110">
        <v>226</v>
      </c>
      <c r="K1110" t="s">
        <v>679</v>
      </c>
      <c r="N1110">
        <v>3</v>
      </c>
      <c r="O1110">
        <v>0.4229</v>
      </c>
      <c r="P1110" t="s">
        <v>38</v>
      </c>
      <c r="Q1110" s="1">
        <v>0</v>
      </c>
      <c r="R1110" t="s">
        <v>1272</v>
      </c>
      <c r="S1110" t="str">
        <f t="shared" si="4"/>
        <v>ko hợp</v>
      </c>
    </row>
    <row r="1111" spans="1:19" hidden="1" x14ac:dyDescent="0.3">
      <c r="A1111" t="s">
        <v>1055</v>
      </c>
      <c r="B1111" t="s">
        <v>1056</v>
      </c>
      <c r="C1111" t="s">
        <v>944</v>
      </c>
      <c r="D1111">
        <v>10730</v>
      </c>
      <c r="E1111" t="s">
        <v>317</v>
      </c>
      <c r="F1111" t="s">
        <v>60</v>
      </c>
      <c r="G1111" t="s">
        <v>318</v>
      </c>
      <c r="H1111" t="s">
        <v>319</v>
      </c>
      <c r="I1111" t="s">
        <v>25</v>
      </c>
      <c r="J1111">
        <v>800</v>
      </c>
      <c r="K1111" t="s">
        <v>320</v>
      </c>
      <c r="L1111">
        <v>3</v>
      </c>
      <c r="M1111">
        <v>9.9823000000000004</v>
      </c>
      <c r="P1111" t="s">
        <v>33</v>
      </c>
      <c r="Q1111" s="1">
        <v>1</v>
      </c>
      <c r="R1111" t="s">
        <v>1272</v>
      </c>
      <c r="S1111" t="str">
        <f t="shared" si="4"/>
        <v>Phù hợp 1 phần</v>
      </c>
    </row>
    <row r="1112" spans="1:19" hidden="1" x14ac:dyDescent="0.3">
      <c r="A1112" t="s">
        <v>1055</v>
      </c>
      <c r="B1112" t="s">
        <v>1056</v>
      </c>
      <c r="C1112" t="s">
        <v>944</v>
      </c>
      <c r="D1112">
        <v>17650</v>
      </c>
      <c r="E1112" t="s">
        <v>195</v>
      </c>
      <c r="F1112" t="s">
        <v>155</v>
      </c>
      <c r="G1112" t="s">
        <v>196</v>
      </c>
      <c r="H1112" t="s">
        <v>197</v>
      </c>
      <c r="I1112" t="s">
        <v>25</v>
      </c>
      <c r="J1112">
        <v>700</v>
      </c>
      <c r="K1112" t="s">
        <v>198</v>
      </c>
      <c r="L1112">
        <v>4</v>
      </c>
      <c r="M1112">
        <v>9.8881999999999994</v>
      </c>
      <c r="P1112" t="s">
        <v>33</v>
      </c>
      <c r="Q1112" s="1">
        <v>0</v>
      </c>
      <c r="R1112" t="s">
        <v>1272</v>
      </c>
      <c r="S1112" t="str">
        <f t="shared" si="4"/>
        <v>ko hợp</v>
      </c>
    </row>
    <row r="1113" spans="1:19" hidden="1" x14ac:dyDescent="0.3">
      <c r="A1113" t="s">
        <v>1055</v>
      </c>
      <c r="B1113" t="s">
        <v>1056</v>
      </c>
      <c r="C1113" t="s">
        <v>944</v>
      </c>
      <c r="D1113">
        <v>20772</v>
      </c>
      <c r="E1113" t="s">
        <v>292</v>
      </c>
      <c r="F1113" t="s">
        <v>293</v>
      </c>
      <c r="G1113" t="s">
        <v>41</v>
      </c>
      <c r="H1113" t="s">
        <v>294</v>
      </c>
      <c r="I1113" t="s">
        <v>25</v>
      </c>
      <c r="J1113">
        <v>787</v>
      </c>
      <c r="K1113" t="s">
        <v>295</v>
      </c>
      <c r="L1113">
        <v>6</v>
      </c>
      <c r="M1113">
        <v>9.1961999999999993</v>
      </c>
      <c r="N1113">
        <v>4</v>
      </c>
      <c r="O1113">
        <v>0.42259999999999998</v>
      </c>
      <c r="P1113" t="s">
        <v>27</v>
      </c>
      <c r="Q1113" s="1">
        <v>0</v>
      </c>
      <c r="R1113" t="s">
        <v>1272</v>
      </c>
      <c r="S1113" t="str">
        <f t="shared" si="4"/>
        <v>ko hợp</v>
      </c>
    </row>
    <row r="1114" spans="1:19" hidden="1" x14ac:dyDescent="0.3">
      <c r="A1114" t="s">
        <v>1055</v>
      </c>
      <c r="B1114" t="s">
        <v>1056</v>
      </c>
      <c r="C1114" t="s">
        <v>944</v>
      </c>
      <c r="D1114">
        <v>17365</v>
      </c>
      <c r="E1114" t="s">
        <v>578</v>
      </c>
      <c r="F1114" t="s">
        <v>60</v>
      </c>
      <c r="G1114" t="s">
        <v>579</v>
      </c>
      <c r="H1114" t="s">
        <v>580</v>
      </c>
      <c r="I1114" t="s">
        <v>31</v>
      </c>
      <c r="J1114">
        <v>1906</v>
      </c>
      <c r="K1114" t="s">
        <v>581</v>
      </c>
      <c r="L1114">
        <v>5</v>
      </c>
      <c r="M1114">
        <v>9.3224999999999998</v>
      </c>
      <c r="P1114" t="s">
        <v>33</v>
      </c>
      <c r="Q1114" s="1">
        <v>1</v>
      </c>
      <c r="R1114" t="s">
        <v>1272</v>
      </c>
      <c r="S1114" t="str">
        <f t="shared" si="4"/>
        <v>Phù hợp 1 phần</v>
      </c>
    </row>
    <row r="1115" spans="1:19" hidden="1" x14ac:dyDescent="0.3">
      <c r="A1115" t="s">
        <v>1055</v>
      </c>
      <c r="B1115" t="s">
        <v>1056</v>
      </c>
      <c r="C1115" t="s">
        <v>944</v>
      </c>
      <c r="D1115">
        <v>19019</v>
      </c>
      <c r="E1115" t="s">
        <v>296</v>
      </c>
      <c r="F1115" t="s">
        <v>297</v>
      </c>
      <c r="G1115" t="s">
        <v>298</v>
      </c>
      <c r="H1115" t="s">
        <v>299</v>
      </c>
      <c r="I1115" t="s">
        <v>25</v>
      </c>
      <c r="J1115">
        <v>999</v>
      </c>
      <c r="K1115" t="s">
        <v>300</v>
      </c>
      <c r="N1115">
        <v>6</v>
      </c>
      <c r="O1115">
        <v>0.42109999999999997</v>
      </c>
      <c r="P1115" t="s">
        <v>38</v>
      </c>
      <c r="Q1115" s="1">
        <v>0</v>
      </c>
      <c r="R1115" t="s">
        <v>1272</v>
      </c>
      <c r="S1115" t="str">
        <f t="shared" si="4"/>
        <v>ko hợp</v>
      </c>
    </row>
    <row r="1116" spans="1:19" hidden="1" x14ac:dyDescent="0.3">
      <c r="A1116" t="s">
        <v>1055</v>
      </c>
      <c r="B1116" t="s">
        <v>1056</v>
      </c>
      <c r="C1116" t="s">
        <v>944</v>
      </c>
      <c r="D1116">
        <v>268</v>
      </c>
      <c r="E1116" t="s">
        <v>429</v>
      </c>
      <c r="F1116" t="s">
        <v>425</v>
      </c>
      <c r="G1116" t="s">
        <v>430</v>
      </c>
      <c r="H1116" t="s">
        <v>431</v>
      </c>
      <c r="I1116" t="s">
        <v>25</v>
      </c>
      <c r="J1116">
        <v>519</v>
      </c>
      <c r="K1116" t="s">
        <v>432</v>
      </c>
      <c r="L1116">
        <v>7</v>
      </c>
      <c r="M1116">
        <v>9.1298999999999992</v>
      </c>
      <c r="P1116" t="s">
        <v>33</v>
      </c>
      <c r="Q1116" s="1">
        <v>1</v>
      </c>
      <c r="R1116" t="s">
        <v>1272</v>
      </c>
      <c r="S1116" t="str">
        <f t="shared" si="4"/>
        <v>Phù hợp 1 phần</v>
      </c>
    </row>
    <row r="1117" spans="1:19" hidden="1" x14ac:dyDescent="0.3">
      <c r="A1117" t="s">
        <v>1055</v>
      </c>
      <c r="B1117" t="s">
        <v>1056</v>
      </c>
      <c r="C1117" t="s">
        <v>944</v>
      </c>
      <c r="D1117">
        <v>20776</v>
      </c>
      <c r="E1117" t="s">
        <v>739</v>
      </c>
      <c r="F1117" t="s">
        <v>740</v>
      </c>
      <c r="G1117" t="s">
        <v>741</v>
      </c>
      <c r="H1117" t="s">
        <v>742</v>
      </c>
      <c r="I1117" t="s">
        <v>31</v>
      </c>
      <c r="J1117">
        <v>386</v>
      </c>
      <c r="K1117" t="s">
        <v>743</v>
      </c>
      <c r="N1117">
        <v>7</v>
      </c>
      <c r="O1117">
        <v>0.41299999999999998</v>
      </c>
      <c r="P1117" t="s">
        <v>38</v>
      </c>
      <c r="Q1117" s="1">
        <v>0</v>
      </c>
      <c r="R1117" t="s">
        <v>1272</v>
      </c>
      <c r="S1117" t="str">
        <f t="shared" si="4"/>
        <v>ko hợp</v>
      </c>
    </row>
    <row r="1118" spans="1:19" hidden="1" x14ac:dyDescent="0.3">
      <c r="A1118" t="s">
        <v>1055</v>
      </c>
      <c r="B1118" t="s">
        <v>1056</v>
      </c>
      <c r="C1118" t="s">
        <v>944</v>
      </c>
      <c r="D1118">
        <v>1053</v>
      </c>
      <c r="E1118" t="s">
        <v>505</v>
      </c>
      <c r="F1118" t="s">
        <v>74</v>
      </c>
      <c r="G1118" t="s">
        <v>506</v>
      </c>
      <c r="H1118" t="s">
        <v>507</v>
      </c>
      <c r="I1118" t="s">
        <v>25</v>
      </c>
      <c r="J1118">
        <v>328</v>
      </c>
      <c r="K1118" t="s">
        <v>508</v>
      </c>
      <c r="L1118">
        <v>8</v>
      </c>
      <c r="M1118">
        <v>8.9564000000000004</v>
      </c>
      <c r="P1118" t="s">
        <v>33</v>
      </c>
      <c r="Q1118" s="1">
        <v>1</v>
      </c>
      <c r="R1118" t="s">
        <v>1272</v>
      </c>
      <c r="S1118" t="str">
        <f t="shared" si="4"/>
        <v>Phù hợp 1 phần</v>
      </c>
    </row>
    <row r="1119" spans="1:19" hidden="1" x14ac:dyDescent="0.3">
      <c r="A1119" t="s">
        <v>1055</v>
      </c>
      <c r="B1119" t="s">
        <v>1056</v>
      </c>
      <c r="C1119" t="s">
        <v>944</v>
      </c>
      <c r="D1119">
        <v>13183</v>
      </c>
      <c r="E1119" t="s">
        <v>777</v>
      </c>
      <c r="F1119" t="s">
        <v>60</v>
      </c>
      <c r="G1119" t="s">
        <v>778</v>
      </c>
      <c r="H1119" t="s">
        <v>779</v>
      </c>
      <c r="I1119" t="s">
        <v>31</v>
      </c>
      <c r="J1119">
        <v>1373</v>
      </c>
      <c r="K1119" t="s">
        <v>780</v>
      </c>
      <c r="N1119">
        <v>8</v>
      </c>
      <c r="O1119">
        <v>0.40789999999999998</v>
      </c>
      <c r="P1119" t="s">
        <v>38</v>
      </c>
      <c r="Q1119" s="1">
        <v>1</v>
      </c>
      <c r="R1119" t="s">
        <v>1272</v>
      </c>
      <c r="S1119" t="str">
        <f t="shared" si="4"/>
        <v>Phù hợp 1 phần</v>
      </c>
    </row>
    <row r="1120" spans="1:19" hidden="1" x14ac:dyDescent="0.3">
      <c r="A1120" t="s">
        <v>1055</v>
      </c>
      <c r="B1120" t="s">
        <v>1056</v>
      </c>
      <c r="C1120" t="s">
        <v>944</v>
      </c>
      <c r="D1120">
        <v>16814</v>
      </c>
      <c r="E1120" t="s">
        <v>787</v>
      </c>
      <c r="F1120" t="s">
        <v>60</v>
      </c>
      <c r="G1120" t="s">
        <v>788</v>
      </c>
      <c r="H1120" t="s">
        <v>789</v>
      </c>
      <c r="I1120" t="s">
        <v>25</v>
      </c>
      <c r="J1120">
        <v>483</v>
      </c>
      <c r="K1120" t="s">
        <v>790</v>
      </c>
      <c r="N1120">
        <v>9</v>
      </c>
      <c r="O1120">
        <v>0.40710000000000002</v>
      </c>
      <c r="P1120" t="s">
        <v>38</v>
      </c>
      <c r="Q1120" s="1">
        <v>0</v>
      </c>
      <c r="R1120" t="s">
        <v>1272</v>
      </c>
      <c r="S1120" t="str">
        <f t="shared" si="4"/>
        <v>ko hợp</v>
      </c>
    </row>
    <row r="1121" spans="1:19" hidden="1" x14ac:dyDescent="0.3">
      <c r="A1121" t="s">
        <v>1055</v>
      </c>
      <c r="B1121" t="s">
        <v>1056</v>
      </c>
      <c r="C1121" t="s">
        <v>944</v>
      </c>
      <c r="D1121">
        <v>19111</v>
      </c>
      <c r="E1121" t="s">
        <v>645</v>
      </c>
      <c r="F1121" t="s">
        <v>22</v>
      </c>
      <c r="G1121" t="s">
        <v>646</v>
      </c>
      <c r="H1121" t="s">
        <v>647</v>
      </c>
      <c r="I1121" t="s">
        <v>31</v>
      </c>
      <c r="J1121">
        <v>240</v>
      </c>
      <c r="K1121" t="s">
        <v>648</v>
      </c>
      <c r="L1121">
        <v>9</v>
      </c>
      <c r="M1121">
        <v>8.9564000000000004</v>
      </c>
      <c r="P1121" t="s">
        <v>33</v>
      </c>
      <c r="Q1121" s="1">
        <v>1</v>
      </c>
      <c r="R1121" t="s">
        <v>1272</v>
      </c>
      <c r="S1121" t="str">
        <f t="shared" si="4"/>
        <v>Phù hợp 1 phần</v>
      </c>
    </row>
    <row r="1122" spans="1:19" hidden="1" x14ac:dyDescent="0.3">
      <c r="A1122" t="s">
        <v>1055</v>
      </c>
      <c r="B1122" t="s">
        <v>1056</v>
      </c>
      <c r="C1122" t="s">
        <v>944</v>
      </c>
      <c r="D1122">
        <v>17792</v>
      </c>
      <c r="E1122" t="s">
        <v>229</v>
      </c>
      <c r="F1122" t="s">
        <v>230</v>
      </c>
      <c r="G1122" t="s">
        <v>231</v>
      </c>
      <c r="H1122" t="s">
        <v>232</v>
      </c>
      <c r="I1122" t="s">
        <v>31</v>
      </c>
      <c r="J1122">
        <v>564</v>
      </c>
      <c r="K1122" t="s">
        <v>233</v>
      </c>
      <c r="L1122">
        <v>10</v>
      </c>
      <c r="M1122">
        <v>8.9190000000000005</v>
      </c>
      <c r="P1122" t="s">
        <v>33</v>
      </c>
      <c r="Q1122" s="1">
        <v>1</v>
      </c>
      <c r="R1122" t="s">
        <v>1272</v>
      </c>
      <c r="S1122" t="str">
        <f t="shared" si="4"/>
        <v>Phù hợp 1 phần</v>
      </c>
    </row>
    <row r="1123" spans="1:19" hidden="1" x14ac:dyDescent="0.3">
      <c r="A1123" t="s">
        <v>1055</v>
      </c>
      <c r="B1123" t="s">
        <v>1056</v>
      </c>
      <c r="C1123" t="s">
        <v>944</v>
      </c>
      <c r="D1123">
        <v>18422</v>
      </c>
      <c r="E1123" t="s">
        <v>301</v>
      </c>
      <c r="F1123" t="s">
        <v>302</v>
      </c>
      <c r="G1123" t="s">
        <v>303</v>
      </c>
      <c r="H1123" t="s">
        <v>304</v>
      </c>
      <c r="I1123" t="s">
        <v>31</v>
      </c>
      <c r="J1123">
        <v>500</v>
      </c>
      <c r="K1123" t="s">
        <v>305</v>
      </c>
      <c r="N1123">
        <v>10</v>
      </c>
      <c r="O1123">
        <v>0.40679999999999999</v>
      </c>
      <c r="P1123" t="s">
        <v>38</v>
      </c>
      <c r="Q1123" s="1">
        <v>1</v>
      </c>
      <c r="R1123" t="s">
        <v>1272</v>
      </c>
      <c r="S1123" t="str">
        <f t="shared" si="4"/>
        <v>Phù hợp 1 phần</v>
      </c>
    </row>
    <row r="1124" spans="1:19" hidden="1" x14ac:dyDescent="0.3">
      <c r="A1124" t="s">
        <v>1057</v>
      </c>
      <c r="B1124" t="s">
        <v>1058</v>
      </c>
      <c r="C1124" t="s">
        <v>944</v>
      </c>
      <c r="D1124">
        <v>11553</v>
      </c>
      <c r="E1124" t="s">
        <v>623</v>
      </c>
      <c r="F1124" t="s">
        <v>60</v>
      </c>
      <c r="G1124" t="s">
        <v>624</v>
      </c>
      <c r="H1124" t="s">
        <v>625</v>
      </c>
      <c r="I1124" t="s">
        <v>31</v>
      </c>
      <c r="J1124">
        <v>489</v>
      </c>
      <c r="K1124" t="s">
        <v>626</v>
      </c>
      <c r="L1124">
        <v>1</v>
      </c>
      <c r="M1124">
        <v>15.9382</v>
      </c>
      <c r="P1124" t="s">
        <v>33</v>
      </c>
      <c r="Q1124" s="1">
        <v>1</v>
      </c>
      <c r="R1124" t="s">
        <v>1272</v>
      </c>
      <c r="S1124" t="str">
        <f t="shared" si="4"/>
        <v>Phù hợp 1 phần</v>
      </c>
    </row>
    <row r="1125" spans="1:19" hidden="1" x14ac:dyDescent="0.3">
      <c r="A1125" t="s">
        <v>1057</v>
      </c>
      <c r="B1125" t="s">
        <v>1058</v>
      </c>
      <c r="C1125" t="s">
        <v>944</v>
      </c>
      <c r="D1125">
        <v>16814</v>
      </c>
      <c r="E1125" t="s">
        <v>787</v>
      </c>
      <c r="F1125" t="s">
        <v>60</v>
      </c>
      <c r="G1125" t="s">
        <v>788</v>
      </c>
      <c r="H1125" t="s">
        <v>789</v>
      </c>
      <c r="I1125" t="s">
        <v>25</v>
      </c>
      <c r="J1125">
        <v>483</v>
      </c>
      <c r="K1125" t="s">
        <v>790</v>
      </c>
      <c r="N1125">
        <v>1</v>
      </c>
      <c r="O1125">
        <v>0.40210000000000001</v>
      </c>
      <c r="P1125" t="s">
        <v>38</v>
      </c>
      <c r="Q1125" s="1">
        <v>1</v>
      </c>
      <c r="R1125" t="s">
        <v>1272</v>
      </c>
      <c r="S1125" t="str">
        <f t="shared" si="4"/>
        <v>Phù hợp 1 phần</v>
      </c>
    </row>
    <row r="1126" spans="1:19" hidden="1" x14ac:dyDescent="0.3">
      <c r="A1126" t="s">
        <v>1057</v>
      </c>
      <c r="B1126" t="s">
        <v>1058</v>
      </c>
      <c r="C1126" t="s">
        <v>944</v>
      </c>
      <c r="D1126">
        <v>171</v>
      </c>
      <c r="E1126" t="s">
        <v>102</v>
      </c>
      <c r="F1126" t="s">
        <v>103</v>
      </c>
      <c r="G1126" t="s">
        <v>104</v>
      </c>
      <c r="H1126" t="s">
        <v>105</v>
      </c>
      <c r="I1126" t="s">
        <v>31</v>
      </c>
      <c r="J1126">
        <v>474</v>
      </c>
      <c r="K1126" t="s">
        <v>106</v>
      </c>
      <c r="N1126">
        <v>2</v>
      </c>
      <c r="O1126">
        <v>0.3982</v>
      </c>
      <c r="P1126" t="s">
        <v>38</v>
      </c>
      <c r="Q1126" s="1">
        <v>0</v>
      </c>
      <c r="R1126" t="s">
        <v>1272</v>
      </c>
      <c r="S1126" t="str">
        <f t="shared" si="4"/>
        <v>ko hợp</v>
      </c>
    </row>
    <row r="1127" spans="1:19" hidden="1" x14ac:dyDescent="0.3">
      <c r="A1127" t="s">
        <v>1057</v>
      </c>
      <c r="B1127" t="s">
        <v>1058</v>
      </c>
      <c r="C1127" t="s">
        <v>944</v>
      </c>
      <c r="D1127">
        <v>10730</v>
      </c>
      <c r="E1127" t="s">
        <v>317</v>
      </c>
      <c r="F1127" t="s">
        <v>60</v>
      </c>
      <c r="G1127" t="s">
        <v>318</v>
      </c>
      <c r="H1127" t="s">
        <v>319</v>
      </c>
      <c r="I1127" t="s">
        <v>25</v>
      </c>
      <c r="J1127">
        <v>800</v>
      </c>
      <c r="K1127" t="s">
        <v>320</v>
      </c>
      <c r="L1127">
        <v>2</v>
      </c>
      <c r="M1127">
        <v>11.8712</v>
      </c>
      <c r="P1127" t="s">
        <v>33</v>
      </c>
      <c r="Q1127" s="1">
        <v>2</v>
      </c>
      <c r="R1127" t="s">
        <v>1272</v>
      </c>
      <c r="S1127" t="str">
        <f t="shared" si="4"/>
        <v>ok</v>
      </c>
    </row>
    <row r="1128" spans="1:19" hidden="1" x14ac:dyDescent="0.3">
      <c r="A1128" t="s">
        <v>1057</v>
      </c>
      <c r="B1128" t="s">
        <v>1058</v>
      </c>
      <c r="C1128" t="s">
        <v>944</v>
      </c>
      <c r="D1128">
        <v>13237</v>
      </c>
      <c r="E1128" t="s">
        <v>137</v>
      </c>
      <c r="F1128" t="s">
        <v>60</v>
      </c>
      <c r="G1128" t="s">
        <v>138</v>
      </c>
      <c r="H1128" t="s">
        <v>139</v>
      </c>
      <c r="I1128" t="s">
        <v>31</v>
      </c>
      <c r="J1128">
        <v>1213</v>
      </c>
      <c r="K1128" t="s">
        <v>140</v>
      </c>
      <c r="L1128">
        <v>3</v>
      </c>
      <c r="M1128">
        <v>10.657</v>
      </c>
      <c r="P1128" t="s">
        <v>33</v>
      </c>
      <c r="Q1128" s="1">
        <v>1</v>
      </c>
      <c r="R1128" t="s">
        <v>1272</v>
      </c>
      <c r="S1128" t="str">
        <f t="shared" si="4"/>
        <v>Phù hợp 1 phần</v>
      </c>
    </row>
    <row r="1129" spans="1:19" hidden="1" x14ac:dyDescent="0.3">
      <c r="A1129" t="s">
        <v>1057</v>
      </c>
      <c r="B1129" t="s">
        <v>1058</v>
      </c>
      <c r="C1129" t="s">
        <v>944</v>
      </c>
      <c r="D1129">
        <v>17365</v>
      </c>
      <c r="E1129" t="s">
        <v>578</v>
      </c>
      <c r="F1129" t="s">
        <v>60</v>
      </c>
      <c r="G1129" t="s">
        <v>579</v>
      </c>
      <c r="H1129" t="s">
        <v>580</v>
      </c>
      <c r="I1129" t="s">
        <v>31</v>
      </c>
      <c r="J1129">
        <v>1906</v>
      </c>
      <c r="K1129" t="s">
        <v>581</v>
      </c>
      <c r="N1129">
        <v>3</v>
      </c>
      <c r="O1129">
        <v>0.3982</v>
      </c>
      <c r="P1129" t="s">
        <v>38</v>
      </c>
      <c r="Q1129" s="1">
        <v>0</v>
      </c>
      <c r="R1129" t="s">
        <v>1272</v>
      </c>
      <c r="S1129" t="str">
        <f t="shared" si="4"/>
        <v>ko hợp</v>
      </c>
    </row>
    <row r="1130" spans="1:19" hidden="1" x14ac:dyDescent="0.3">
      <c r="A1130" t="s">
        <v>1057</v>
      </c>
      <c r="B1130" t="s">
        <v>1058</v>
      </c>
      <c r="C1130" t="s">
        <v>944</v>
      </c>
      <c r="D1130">
        <v>5138</v>
      </c>
      <c r="E1130" t="s">
        <v>870</v>
      </c>
      <c r="F1130" t="s">
        <v>60</v>
      </c>
      <c r="G1130" t="s">
        <v>871</v>
      </c>
      <c r="H1130" t="s">
        <v>872</v>
      </c>
      <c r="I1130" t="s">
        <v>25</v>
      </c>
      <c r="J1130">
        <v>475</v>
      </c>
      <c r="K1130" t="s">
        <v>873</v>
      </c>
      <c r="L1130">
        <v>8</v>
      </c>
      <c r="M1130">
        <v>9.1228999999999996</v>
      </c>
      <c r="N1130">
        <v>4</v>
      </c>
      <c r="O1130">
        <v>0.39340000000000003</v>
      </c>
      <c r="P1130" t="s">
        <v>27</v>
      </c>
      <c r="Q1130" s="1">
        <v>1</v>
      </c>
      <c r="R1130" t="s">
        <v>1272</v>
      </c>
      <c r="S1130" t="str">
        <f t="shared" si="4"/>
        <v>Phù hợp 1 phần</v>
      </c>
    </row>
    <row r="1131" spans="1:19" hidden="1" x14ac:dyDescent="0.3">
      <c r="A1131" t="s">
        <v>1057</v>
      </c>
      <c r="B1131" t="s">
        <v>1058</v>
      </c>
      <c r="C1131" t="s">
        <v>944</v>
      </c>
      <c r="D1131">
        <v>20392</v>
      </c>
      <c r="E1131" t="s">
        <v>661</v>
      </c>
      <c r="F1131" t="s">
        <v>662</v>
      </c>
      <c r="G1131" t="s">
        <v>41</v>
      </c>
      <c r="H1131" t="s">
        <v>663</v>
      </c>
      <c r="I1131" t="s">
        <v>25</v>
      </c>
      <c r="J1131">
        <v>980</v>
      </c>
      <c r="K1131" t="s">
        <v>664</v>
      </c>
      <c r="L1131">
        <v>4</v>
      </c>
      <c r="M1131">
        <v>10.168900000000001</v>
      </c>
      <c r="P1131" t="s">
        <v>33</v>
      </c>
      <c r="Q1131" s="1">
        <v>1</v>
      </c>
      <c r="R1131" t="s">
        <v>1272</v>
      </c>
      <c r="S1131" t="str">
        <f t="shared" si="4"/>
        <v>Phù hợp 1 phần</v>
      </c>
    </row>
    <row r="1132" spans="1:19" hidden="1" x14ac:dyDescent="0.3">
      <c r="A1132" t="s">
        <v>1057</v>
      </c>
      <c r="B1132" t="s">
        <v>1058</v>
      </c>
      <c r="C1132" t="s">
        <v>944</v>
      </c>
      <c r="D1132">
        <v>11481</v>
      </c>
      <c r="E1132" t="s">
        <v>1014</v>
      </c>
      <c r="F1132" t="s">
        <v>60</v>
      </c>
      <c r="G1132" t="s">
        <v>318</v>
      </c>
      <c r="H1132" t="s">
        <v>1015</v>
      </c>
      <c r="I1132" t="s">
        <v>352</v>
      </c>
      <c r="J1132">
        <v>737</v>
      </c>
      <c r="K1132" t="s">
        <v>1016</v>
      </c>
      <c r="L1132">
        <v>5</v>
      </c>
      <c r="M1132">
        <v>10.0815</v>
      </c>
      <c r="P1132" t="s">
        <v>33</v>
      </c>
      <c r="Q1132" s="1">
        <v>1</v>
      </c>
      <c r="R1132" t="s">
        <v>1272</v>
      </c>
      <c r="S1132" t="str">
        <f t="shared" si="4"/>
        <v>Phù hợp 1 phần</v>
      </c>
    </row>
    <row r="1133" spans="1:19" hidden="1" x14ac:dyDescent="0.3">
      <c r="A1133" t="s">
        <v>1057</v>
      </c>
      <c r="B1133" t="s">
        <v>1058</v>
      </c>
      <c r="C1133" t="s">
        <v>944</v>
      </c>
      <c r="D1133">
        <v>19064</v>
      </c>
      <c r="E1133" t="s">
        <v>551</v>
      </c>
      <c r="F1133" t="s">
        <v>552</v>
      </c>
      <c r="G1133" t="s">
        <v>405</v>
      </c>
      <c r="H1133" t="s">
        <v>553</v>
      </c>
      <c r="I1133" t="s">
        <v>31</v>
      </c>
      <c r="J1133">
        <v>1167</v>
      </c>
      <c r="K1133" t="s">
        <v>554</v>
      </c>
      <c r="N1133">
        <v>5</v>
      </c>
      <c r="O1133">
        <v>0.3826</v>
      </c>
      <c r="P1133" t="s">
        <v>38</v>
      </c>
      <c r="Q1133" s="1">
        <v>1</v>
      </c>
      <c r="R1133" t="s">
        <v>1272</v>
      </c>
      <c r="S1133" t="str">
        <f t="shared" si="4"/>
        <v>Phù hợp 1 phần</v>
      </c>
    </row>
    <row r="1134" spans="1:19" hidden="1" x14ac:dyDescent="0.3">
      <c r="A1134" t="s">
        <v>1057</v>
      </c>
      <c r="B1134" t="s">
        <v>1058</v>
      </c>
      <c r="C1134" t="s">
        <v>944</v>
      </c>
      <c r="D1134">
        <v>12094</v>
      </c>
      <c r="E1134" t="s">
        <v>1059</v>
      </c>
      <c r="F1134" t="s">
        <v>60</v>
      </c>
      <c r="G1134" t="s">
        <v>318</v>
      </c>
      <c r="H1134" t="s">
        <v>1060</v>
      </c>
      <c r="I1134" t="s">
        <v>31</v>
      </c>
      <c r="J1134">
        <v>662</v>
      </c>
      <c r="K1134" t="s">
        <v>1061</v>
      </c>
      <c r="N1134">
        <v>6</v>
      </c>
      <c r="O1134">
        <v>0.37969999999999998</v>
      </c>
      <c r="P1134" t="s">
        <v>38</v>
      </c>
      <c r="Q1134" s="1">
        <v>1</v>
      </c>
      <c r="R1134" t="s">
        <v>1272</v>
      </c>
      <c r="S1134" t="str">
        <f t="shared" si="4"/>
        <v>Phù hợp 1 phần</v>
      </c>
    </row>
    <row r="1135" spans="1:19" hidden="1" x14ac:dyDescent="0.3">
      <c r="A1135" t="s">
        <v>1057</v>
      </c>
      <c r="B1135" t="s">
        <v>1058</v>
      </c>
      <c r="C1135" t="s">
        <v>944</v>
      </c>
      <c r="D1135">
        <v>20650</v>
      </c>
      <c r="E1135" t="s">
        <v>309</v>
      </c>
      <c r="F1135" t="s">
        <v>60</v>
      </c>
      <c r="G1135" t="s">
        <v>310</v>
      </c>
      <c r="H1135" t="s">
        <v>311</v>
      </c>
      <c r="I1135" t="s">
        <v>25</v>
      </c>
      <c r="J1135">
        <v>878</v>
      </c>
      <c r="K1135" t="s">
        <v>312</v>
      </c>
      <c r="L1135">
        <v>6</v>
      </c>
      <c r="M1135">
        <v>9.4216999999999995</v>
      </c>
      <c r="P1135" t="s">
        <v>33</v>
      </c>
      <c r="Q1135" s="1">
        <v>1</v>
      </c>
      <c r="R1135" t="s">
        <v>1272</v>
      </c>
      <c r="S1135" t="str">
        <f t="shared" si="4"/>
        <v>Phù hợp 1 phần</v>
      </c>
    </row>
    <row r="1136" spans="1:19" hidden="1" x14ac:dyDescent="0.3">
      <c r="A1136" t="s">
        <v>1057</v>
      </c>
      <c r="B1136" t="s">
        <v>1058</v>
      </c>
      <c r="C1136" t="s">
        <v>944</v>
      </c>
      <c r="D1136">
        <v>9820</v>
      </c>
      <c r="E1136" t="s">
        <v>150</v>
      </c>
      <c r="F1136" t="s">
        <v>60</v>
      </c>
      <c r="G1136" t="s">
        <v>151</v>
      </c>
      <c r="H1136" t="s">
        <v>152</v>
      </c>
      <c r="I1136" t="s">
        <v>25</v>
      </c>
      <c r="J1136">
        <v>2512</v>
      </c>
      <c r="K1136" t="s">
        <v>153</v>
      </c>
      <c r="N1136">
        <v>7</v>
      </c>
      <c r="O1136">
        <v>0.37640000000000001</v>
      </c>
      <c r="P1136" t="s">
        <v>38</v>
      </c>
      <c r="Q1136" s="1">
        <v>1</v>
      </c>
      <c r="R1136" t="s">
        <v>1272</v>
      </c>
      <c r="S1136" t="str">
        <f t="shared" si="4"/>
        <v>Phù hợp 1 phần</v>
      </c>
    </row>
    <row r="1137" spans="1:19" hidden="1" x14ac:dyDescent="0.3">
      <c r="A1137" t="s">
        <v>1057</v>
      </c>
      <c r="B1137" t="s">
        <v>1058</v>
      </c>
      <c r="C1137" t="s">
        <v>944</v>
      </c>
      <c r="D1137">
        <v>19710</v>
      </c>
      <c r="E1137" t="s">
        <v>199</v>
      </c>
      <c r="F1137" t="s">
        <v>200</v>
      </c>
      <c r="G1137" t="s">
        <v>201</v>
      </c>
      <c r="H1137" t="s">
        <v>202</v>
      </c>
      <c r="I1137" t="s">
        <v>31</v>
      </c>
      <c r="J1137">
        <v>262</v>
      </c>
      <c r="K1137" t="s">
        <v>203</v>
      </c>
      <c r="L1137">
        <v>7</v>
      </c>
      <c r="M1137">
        <v>9.2715999999999994</v>
      </c>
      <c r="P1137" t="s">
        <v>33</v>
      </c>
      <c r="Q1137" s="1">
        <v>0</v>
      </c>
      <c r="R1137" t="s">
        <v>1272</v>
      </c>
      <c r="S1137" t="str">
        <f t="shared" si="4"/>
        <v>ko hợp</v>
      </c>
    </row>
    <row r="1138" spans="1:19" hidden="1" x14ac:dyDescent="0.3">
      <c r="A1138" t="s">
        <v>1057</v>
      </c>
      <c r="B1138" t="s">
        <v>1058</v>
      </c>
      <c r="C1138" t="s">
        <v>944</v>
      </c>
      <c r="D1138">
        <v>14222</v>
      </c>
      <c r="E1138" t="s">
        <v>749</v>
      </c>
      <c r="F1138" t="s">
        <v>60</v>
      </c>
      <c r="G1138" t="s">
        <v>696</v>
      </c>
      <c r="H1138" t="s">
        <v>750</v>
      </c>
      <c r="I1138" t="s">
        <v>25</v>
      </c>
      <c r="J1138">
        <v>835</v>
      </c>
      <c r="K1138" t="s">
        <v>751</v>
      </c>
      <c r="N1138">
        <v>8</v>
      </c>
      <c r="O1138">
        <v>0.374</v>
      </c>
      <c r="P1138" t="s">
        <v>38</v>
      </c>
      <c r="Q1138" s="1">
        <v>1</v>
      </c>
      <c r="R1138" t="s">
        <v>1272</v>
      </c>
      <c r="S1138" t="str">
        <f t="shared" si="4"/>
        <v>Phù hợp 1 phần</v>
      </c>
    </row>
    <row r="1139" spans="1:19" hidden="1" x14ac:dyDescent="0.3">
      <c r="A1139" t="s">
        <v>1057</v>
      </c>
      <c r="B1139" t="s">
        <v>1058</v>
      </c>
      <c r="C1139" t="s">
        <v>944</v>
      </c>
      <c r="D1139">
        <v>563</v>
      </c>
      <c r="E1139" t="s">
        <v>1062</v>
      </c>
      <c r="F1139" t="s">
        <v>60</v>
      </c>
      <c r="G1139" t="s">
        <v>1063</v>
      </c>
      <c r="H1139" t="s">
        <v>1064</v>
      </c>
      <c r="I1139" t="s">
        <v>25</v>
      </c>
      <c r="J1139">
        <v>1191</v>
      </c>
      <c r="K1139" t="s">
        <v>1065</v>
      </c>
      <c r="N1139">
        <v>9</v>
      </c>
      <c r="O1139">
        <v>0.37309999999999999</v>
      </c>
      <c r="P1139" t="s">
        <v>38</v>
      </c>
      <c r="Q1139" s="1">
        <v>1</v>
      </c>
      <c r="R1139" t="s">
        <v>1272</v>
      </c>
      <c r="S1139" t="str">
        <f t="shared" si="4"/>
        <v>Phù hợp 1 phần</v>
      </c>
    </row>
    <row r="1140" spans="1:19" hidden="1" x14ac:dyDescent="0.3">
      <c r="A1140" t="s">
        <v>1057</v>
      </c>
      <c r="B1140" t="s">
        <v>1058</v>
      </c>
      <c r="C1140" t="s">
        <v>944</v>
      </c>
      <c r="D1140">
        <v>17916</v>
      </c>
      <c r="E1140" t="s">
        <v>921</v>
      </c>
      <c r="F1140" t="s">
        <v>60</v>
      </c>
      <c r="G1140" t="s">
        <v>922</v>
      </c>
      <c r="H1140" t="s">
        <v>923</v>
      </c>
      <c r="I1140" t="s">
        <v>31</v>
      </c>
      <c r="J1140">
        <v>1081</v>
      </c>
      <c r="K1140" t="s">
        <v>924</v>
      </c>
      <c r="L1140">
        <v>9</v>
      </c>
      <c r="M1140">
        <v>8.9346999999999994</v>
      </c>
      <c r="N1140">
        <v>10</v>
      </c>
      <c r="O1140">
        <v>0.37240000000000001</v>
      </c>
      <c r="P1140" t="s">
        <v>27</v>
      </c>
      <c r="Q1140" s="1">
        <v>1</v>
      </c>
      <c r="R1140" t="s">
        <v>1272</v>
      </c>
      <c r="S1140" t="str">
        <f t="shared" si="4"/>
        <v>Phù hợp 1 phần</v>
      </c>
    </row>
    <row r="1141" spans="1:19" hidden="1" x14ac:dyDescent="0.3">
      <c r="A1141" t="s">
        <v>1057</v>
      </c>
      <c r="B1141" t="s">
        <v>1058</v>
      </c>
      <c r="C1141" t="s">
        <v>944</v>
      </c>
      <c r="D1141">
        <v>17533</v>
      </c>
      <c r="E1141" t="s">
        <v>746</v>
      </c>
      <c r="F1141" t="s">
        <v>60</v>
      </c>
      <c r="G1141" t="s">
        <v>719</v>
      </c>
      <c r="H1141" t="s">
        <v>747</v>
      </c>
      <c r="I1141" t="s">
        <v>25</v>
      </c>
      <c r="J1141">
        <v>907</v>
      </c>
      <c r="K1141" t="s">
        <v>748</v>
      </c>
      <c r="L1141">
        <v>10</v>
      </c>
      <c r="M1141">
        <v>8.6114999999999995</v>
      </c>
      <c r="P1141" t="s">
        <v>33</v>
      </c>
      <c r="Q1141" s="1">
        <v>1</v>
      </c>
      <c r="R1141" t="s">
        <v>1272</v>
      </c>
      <c r="S1141" t="str">
        <f t="shared" si="4"/>
        <v>Phù hợp 1 phần</v>
      </c>
    </row>
    <row r="1142" spans="1:19" hidden="1" x14ac:dyDescent="0.3">
      <c r="A1142" t="s">
        <v>1066</v>
      </c>
      <c r="B1142" t="s">
        <v>1067</v>
      </c>
      <c r="C1142" t="s">
        <v>944</v>
      </c>
      <c r="D1142">
        <v>13674</v>
      </c>
      <c r="E1142" t="s">
        <v>78</v>
      </c>
      <c r="F1142" t="s">
        <v>22</v>
      </c>
      <c r="G1142" t="s">
        <v>79</v>
      </c>
      <c r="H1142" t="s">
        <v>80</v>
      </c>
      <c r="I1142" t="s">
        <v>31</v>
      </c>
      <c r="J1142">
        <v>1127</v>
      </c>
      <c r="K1142" t="s">
        <v>81</v>
      </c>
      <c r="L1142">
        <v>1</v>
      </c>
      <c r="M1142">
        <v>15.3955</v>
      </c>
      <c r="N1142">
        <v>1</v>
      </c>
      <c r="O1142">
        <v>0.41</v>
      </c>
      <c r="P1142" t="s">
        <v>27</v>
      </c>
      <c r="Q1142" s="1">
        <v>1</v>
      </c>
      <c r="R1142" t="s">
        <v>1272</v>
      </c>
      <c r="S1142" t="str">
        <f t="shared" si="4"/>
        <v>Phù hợp 1 phần</v>
      </c>
    </row>
    <row r="1143" spans="1:19" hidden="1" x14ac:dyDescent="0.3">
      <c r="A1143" t="s">
        <v>1066</v>
      </c>
      <c r="B1143" t="s">
        <v>1067</v>
      </c>
      <c r="C1143" t="s">
        <v>944</v>
      </c>
      <c r="D1143">
        <v>19064</v>
      </c>
      <c r="E1143" t="s">
        <v>551</v>
      </c>
      <c r="F1143" t="s">
        <v>552</v>
      </c>
      <c r="G1143" t="s">
        <v>405</v>
      </c>
      <c r="H1143" t="s">
        <v>553</v>
      </c>
      <c r="I1143" t="s">
        <v>31</v>
      </c>
      <c r="J1143">
        <v>1167</v>
      </c>
      <c r="K1143" t="s">
        <v>554</v>
      </c>
      <c r="N1143">
        <v>2</v>
      </c>
      <c r="O1143">
        <v>0.4098</v>
      </c>
      <c r="P1143" t="s">
        <v>38</v>
      </c>
      <c r="Q1143" s="1">
        <v>1</v>
      </c>
      <c r="R1143" t="s">
        <v>1272</v>
      </c>
      <c r="S1143" t="str">
        <f t="shared" si="4"/>
        <v>Phù hợp 1 phần</v>
      </c>
    </row>
    <row r="1144" spans="1:19" hidden="1" x14ac:dyDescent="0.3">
      <c r="A1144" t="s">
        <v>1066</v>
      </c>
      <c r="B1144" t="s">
        <v>1067</v>
      </c>
      <c r="C1144" t="s">
        <v>944</v>
      </c>
      <c r="D1144">
        <v>19982</v>
      </c>
      <c r="E1144" t="s">
        <v>28</v>
      </c>
      <c r="F1144" t="s">
        <v>22</v>
      </c>
      <c r="G1144" t="s">
        <v>29</v>
      </c>
      <c r="H1144" t="s">
        <v>30</v>
      </c>
      <c r="I1144" t="s">
        <v>31</v>
      </c>
      <c r="J1144">
        <v>543</v>
      </c>
      <c r="K1144" t="s">
        <v>32</v>
      </c>
      <c r="L1144">
        <v>2</v>
      </c>
      <c r="M1144">
        <v>12.587999999999999</v>
      </c>
      <c r="P1144" t="s">
        <v>33</v>
      </c>
      <c r="Q1144" s="1">
        <v>1</v>
      </c>
      <c r="R1144" t="s">
        <v>1272</v>
      </c>
      <c r="S1144" t="str">
        <f t="shared" si="4"/>
        <v>Phù hợp 1 phần</v>
      </c>
    </row>
    <row r="1145" spans="1:19" hidden="1" x14ac:dyDescent="0.3">
      <c r="A1145" t="s">
        <v>1066</v>
      </c>
      <c r="B1145" t="s">
        <v>1067</v>
      </c>
      <c r="C1145" t="s">
        <v>944</v>
      </c>
      <c r="D1145">
        <v>14198</v>
      </c>
      <c r="E1145" t="s">
        <v>73</v>
      </c>
      <c r="F1145" t="s">
        <v>74</v>
      </c>
      <c r="G1145" t="s">
        <v>75</v>
      </c>
      <c r="H1145" t="s">
        <v>76</v>
      </c>
      <c r="I1145" t="s">
        <v>31</v>
      </c>
      <c r="J1145">
        <v>377</v>
      </c>
      <c r="K1145" t="s">
        <v>77</v>
      </c>
      <c r="L1145">
        <v>6</v>
      </c>
      <c r="M1145">
        <v>9.2170000000000005</v>
      </c>
      <c r="N1145">
        <v>3</v>
      </c>
      <c r="O1145">
        <v>0.40560000000000002</v>
      </c>
      <c r="P1145" t="s">
        <v>27</v>
      </c>
      <c r="Q1145" s="1">
        <v>0</v>
      </c>
      <c r="R1145" t="s">
        <v>1272</v>
      </c>
      <c r="S1145" t="str">
        <f t="shared" si="4"/>
        <v>ko hợp</v>
      </c>
    </row>
    <row r="1146" spans="1:19" hidden="1" x14ac:dyDescent="0.3">
      <c r="A1146" t="s">
        <v>1066</v>
      </c>
      <c r="B1146" t="s">
        <v>1067</v>
      </c>
      <c r="C1146" t="s">
        <v>944</v>
      </c>
      <c r="D1146">
        <v>19710</v>
      </c>
      <c r="E1146" t="s">
        <v>199</v>
      </c>
      <c r="F1146" t="s">
        <v>200</v>
      </c>
      <c r="G1146" t="s">
        <v>201</v>
      </c>
      <c r="H1146" t="s">
        <v>202</v>
      </c>
      <c r="I1146" t="s">
        <v>31</v>
      </c>
      <c r="J1146">
        <v>262</v>
      </c>
      <c r="K1146" t="s">
        <v>203</v>
      </c>
      <c r="L1146">
        <v>3</v>
      </c>
      <c r="M1146">
        <v>9.9078999999999997</v>
      </c>
      <c r="P1146" t="s">
        <v>33</v>
      </c>
      <c r="Q1146" s="1">
        <v>0</v>
      </c>
      <c r="R1146" t="s">
        <v>1272</v>
      </c>
      <c r="S1146" t="str">
        <f t="shared" si="4"/>
        <v>ko hợp</v>
      </c>
    </row>
    <row r="1147" spans="1:19" hidden="1" x14ac:dyDescent="0.3">
      <c r="A1147" t="s">
        <v>1066</v>
      </c>
      <c r="B1147" t="s">
        <v>1067</v>
      </c>
      <c r="C1147" t="s">
        <v>944</v>
      </c>
      <c r="D1147">
        <v>9529</v>
      </c>
      <c r="E1147" t="s">
        <v>606</v>
      </c>
      <c r="F1147" t="s">
        <v>155</v>
      </c>
      <c r="G1147" t="s">
        <v>41</v>
      </c>
      <c r="H1147" t="s">
        <v>607</v>
      </c>
      <c r="I1147" t="s">
        <v>25</v>
      </c>
      <c r="J1147">
        <v>1417</v>
      </c>
      <c r="K1147" t="s">
        <v>608</v>
      </c>
      <c r="L1147">
        <v>4</v>
      </c>
      <c r="M1147">
        <v>9.4628999999999994</v>
      </c>
      <c r="P1147" t="s">
        <v>33</v>
      </c>
      <c r="Q1147" s="1">
        <v>1</v>
      </c>
      <c r="R1147" t="s">
        <v>1272</v>
      </c>
      <c r="S1147" t="str">
        <f t="shared" si="4"/>
        <v>Phù hợp 1 phần</v>
      </c>
    </row>
    <row r="1148" spans="1:19" hidden="1" x14ac:dyDescent="0.3">
      <c r="A1148" t="s">
        <v>1066</v>
      </c>
      <c r="B1148" t="s">
        <v>1067</v>
      </c>
      <c r="C1148" t="s">
        <v>944</v>
      </c>
      <c r="D1148">
        <v>19395</v>
      </c>
      <c r="E1148" t="s">
        <v>609</v>
      </c>
      <c r="F1148" t="s">
        <v>22</v>
      </c>
      <c r="G1148" t="s">
        <v>610</v>
      </c>
      <c r="H1148" t="s">
        <v>611</v>
      </c>
      <c r="I1148" t="s">
        <v>31</v>
      </c>
      <c r="J1148">
        <v>560</v>
      </c>
      <c r="K1148" t="s">
        <v>612</v>
      </c>
      <c r="L1148">
        <v>5</v>
      </c>
      <c r="M1148">
        <v>9.3297000000000008</v>
      </c>
      <c r="N1148">
        <v>4</v>
      </c>
      <c r="O1148">
        <v>0.39</v>
      </c>
      <c r="P1148" t="s">
        <v>27</v>
      </c>
      <c r="Q1148" s="1">
        <v>1</v>
      </c>
      <c r="R1148" t="s">
        <v>1272</v>
      </c>
      <c r="S1148" t="str">
        <f t="shared" si="4"/>
        <v>Phù hợp 1 phần</v>
      </c>
    </row>
    <row r="1149" spans="1:19" hidden="1" x14ac:dyDescent="0.3">
      <c r="A1149" t="s">
        <v>1066</v>
      </c>
      <c r="B1149" t="s">
        <v>1067</v>
      </c>
      <c r="C1149" t="s">
        <v>944</v>
      </c>
      <c r="D1149">
        <v>17365</v>
      </c>
      <c r="E1149" t="s">
        <v>578</v>
      </c>
      <c r="F1149" t="s">
        <v>60</v>
      </c>
      <c r="G1149" t="s">
        <v>579</v>
      </c>
      <c r="H1149" t="s">
        <v>580</v>
      </c>
      <c r="I1149" t="s">
        <v>31</v>
      </c>
      <c r="J1149">
        <v>1906</v>
      </c>
      <c r="K1149" t="s">
        <v>581</v>
      </c>
      <c r="N1149">
        <v>5</v>
      </c>
      <c r="O1149">
        <v>0.38850000000000001</v>
      </c>
      <c r="P1149" t="s">
        <v>38</v>
      </c>
      <c r="Q1149" s="1">
        <v>1</v>
      </c>
      <c r="R1149" t="s">
        <v>1272</v>
      </c>
      <c r="S1149" t="str">
        <f t="shared" si="4"/>
        <v>Phù hợp 1 phần</v>
      </c>
    </row>
    <row r="1150" spans="1:19" hidden="1" x14ac:dyDescent="0.3">
      <c r="A1150" t="s">
        <v>1066</v>
      </c>
      <c r="B1150" t="s">
        <v>1067</v>
      </c>
      <c r="C1150" t="s">
        <v>944</v>
      </c>
      <c r="D1150">
        <v>11464</v>
      </c>
      <c r="E1150" t="s">
        <v>463</v>
      </c>
      <c r="F1150" t="s">
        <v>60</v>
      </c>
      <c r="G1150" t="s">
        <v>464</v>
      </c>
      <c r="H1150" t="s">
        <v>465</v>
      </c>
      <c r="I1150" t="s">
        <v>31</v>
      </c>
      <c r="J1150">
        <v>695</v>
      </c>
      <c r="K1150" t="s">
        <v>466</v>
      </c>
      <c r="N1150">
        <v>6</v>
      </c>
      <c r="O1150">
        <v>0.3861</v>
      </c>
      <c r="P1150" t="s">
        <v>38</v>
      </c>
      <c r="Q1150" s="1">
        <v>1</v>
      </c>
      <c r="R1150" t="s">
        <v>1272</v>
      </c>
      <c r="S1150" t="str">
        <f t="shared" si="4"/>
        <v>Phù hợp 1 phần</v>
      </c>
    </row>
    <row r="1151" spans="1:19" hidden="1" x14ac:dyDescent="0.3">
      <c r="A1151" t="s">
        <v>1066</v>
      </c>
      <c r="B1151" t="s">
        <v>1067</v>
      </c>
      <c r="C1151" t="s">
        <v>944</v>
      </c>
      <c r="D1151">
        <v>10730</v>
      </c>
      <c r="E1151" t="s">
        <v>317</v>
      </c>
      <c r="F1151" t="s">
        <v>60</v>
      </c>
      <c r="G1151" t="s">
        <v>318</v>
      </c>
      <c r="H1151" t="s">
        <v>319</v>
      </c>
      <c r="I1151" t="s">
        <v>25</v>
      </c>
      <c r="J1151">
        <v>800</v>
      </c>
      <c r="K1151" t="s">
        <v>320</v>
      </c>
      <c r="L1151">
        <v>7</v>
      </c>
      <c r="M1151">
        <v>8.2720000000000002</v>
      </c>
      <c r="P1151" t="s">
        <v>33</v>
      </c>
      <c r="Q1151" s="1">
        <v>1</v>
      </c>
      <c r="R1151" t="s">
        <v>1272</v>
      </c>
      <c r="S1151" t="str">
        <f t="shared" si="4"/>
        <v>Phù hợp 1 phần</v>
      </c>
    </row>
    <row r="1152" spans="1:19" hidden="1" x14ac:dyDescent="0.3">
      <c r="A1152" t="s">
        <v>1066</v>
      </c>
      <c r="B1152" t="s">
        <v>1067</v>
      </c>
      <c r="C1152" t="s">
        <v>944</v>
      </c>
      <c r="D1152">
        <v>19400</v>
      </c>
      <c r="E1152" t="s">
        <v>805</v>
      </c>
      <c r="F1152" t="s">
        <v>60</v>
      </c>
      <c r="G1152" t="s">
        <v>806</v>
      </c>
      <c r="H1152" t="s">
        <v>807</v>
      </c>
      <c r="I1152" t="s">
        <v>31</v>
      </c>
      <c r="J1152">
        <v>534</v>
      </c>
      <c r="K1152" t="s">
        <v>808</v>
      </c>
      <c r="N1152">
        <v>7</v>
      </c>
      <c r="O1152">
        <v>0.38419999999999999</v>
      </c>
      <c r="P1152" t="s">
        <v>38</v>
      </c>
      <c r="Q1152" s="1">
        <v>2</v>
      </c>
      <c r="R1152" t="s">
        <v>1272</v>
      </c>
      <c r="S1152" t="str">
        <f t="shared" si="4"/>
        <v>ok</v>
      </c>
    </row>
    <row r="1153" spans="1:19" hidden="1" x14ac:dyDescent="0.3">
      <c r="A1153" t="s">
        <v>1066</v>
      </c>
      <c r="B1153" t="s">
        <v>1067</v>
      </c>
      <c r="C1153" t="s">
        <v>944</v>
      </c>
      <c r="D1153">
        <v>9820</v>
      </c>
      <c r="E1153" t="s">
        <v>150</v>
      </c>
      <c r="F1153" t="s">
        <v>60</v>
      </c>
      <c r="G1153" t="s">
        <v>151</v>
      </c>
      <c r="H1153" t="s">
        <v>152</v>
      </c>
      <c r="I1153" t="s">
        <v>25</v>
      </c>
      <c r="J1153">
        <v>2512</v>
      </c>
      <c r="K1153" t="s">
        <v>153</v>
      </c>
      <c r="N1153">
        <v>8</v>
      </c>
      <c r="O1153">
        <v>0.3841</v>
      </c>
      <c r="P1153" t="s">
        <v>38</v>
      </c>
      <c r="Q1153" s="1">
        <v>1</v>
      </c>
      <c r="R1153" t="s">
        <v>1272</v>
      </c>
      <c r="S1153" t="str">
        <f t="shared" si="4"/>
        <v>Phù hợp 1 phần</v>
      </c>
    </row>
    <row r="1154" spans="1:19" hidden="1" x14ac:dyDescent="0.3">
      <c r="A1154" t="s">
        <v>1066</v>
      </c>
      <c r="B1154" t="s">
        <v>1067</v>
      </c>
      <c r="C1154" t="s">
        <v>944</v>
      </c>
      <c r="D1154">
        <v>13524</v>
      </c>
      <c r="E1154" t="s">
        <v>613</v>
      </c>
      <c r="F1154" t="s">
        <v>22</v>
      </c>
      <c r="G1154" t="s">
        <v>614</v>
      </c>
      <c r="H1154" t="s">
        <v>615</v>
      </c>
      <c r="I1154" t="s">
        <v>31</v>
      </c>
      <c r="J1154">
        <v>751</v>
      </c>
      <c r="K1154" t="s">
        <v>616</v>
      </c>
      <c r="L1154">
        <v>8</v>
      </c>
      <c r="M1154">
        <v>7.7964000000000002</v>
      </c>
      <c r="P1154" t="s">
        <v>33</v>
      </c>
      <c r="Q1154" s="1">
        <v>1</v>
      </c>
      <c r="R1154" t="s">
        <v>1272</v>
      </c>
      <c r="S1154" t="str">
        <f t="shared" si="4"/>
        <v>Phù hợp 1 phần</v>
      </c>
    </row>
    <row r="1155" spans="1:19" hidden="1" x14ac:dyDescent="0.3">
      <c r="A1155" t="s">
        <v>1066</v>
      </c>
      <c r="B1155" t="s">
        <v>1067</v>
      </c>
      <c r="C1155" t="s">
        <v>944</v>
      </c>
      <c r="D1155">
        <v>171</v>
      </c>
      <c r="E1155" t="s">
        <v>102</v>
      </c>
      <c r="F1155" t="s">
        <v>103</v>
      </c>
      <c r="G1155" t="s">
        <v>104</v>
      </c>
      <c r="H1155" t="s">
        <v>105</v>
      </c>
      <c r="I1155" t="s">
        <v>31</v>
      </c>
      <c r="J1155">
        <v>474</v>
      </c>
      <c r="K1155" t="s">
        <v>106</v>
      </c>
      <c r="N1155">
        <v>9</v>
      </c>
      <c r="O1155">
        <v>0.38329999999999997</v>
      </c>
      <c r="P1155" t="s">
        <v>38</v>
      </c>
      <c r="Q1155" s="1">
        <v>0</v>
      </c>
      <c r="R1155" t="s">
        <v>1272</v>
      </c>
      <c r="S1155" t="str">
        <f t="shared" si="4"/>
        <v>ko hợp</v>
      </c>
    </row>
    <row r="1156" spans="1:19" hidden="1" x14ac:dyDescent="0.3">
      <c r="A1156" t="s">
        <v>1066</v>
      </c>
      <c r="B1156" t="s">
        <v>1067</v>
      </c>
      <c r="C1156" t="s">
        <v>944</v>
      </c>
      <c r="D1156">
        <v>16838</v>
      </c>
      <c r="E1156" t="s">
        <v>129</v>
      </c>
      <c r="F1156" t="s">
        <v>60</v>
      </c>
      <c r="G1156" t="s">
        <v>130</v>
      </c>
      <c r="H1156" t="s">
        <v>131</v>
      </c>
      <c r="I1156" t="s">
        <v>31</v>
      </c>
      <c r="J1156">
        <v>3435</v>
      </c>
      <c r="K1156" t="s">
        <v>132</v>
      </c>
      <c r="L1156">
        <v>9</v>
      </c>
      <c r="M1156">
        <v>7.4856999999999996</v>
      </c>
      <c r="P1156" t="s">
        <v>33</v>
      </c>
      <c r="Q1156" s="1">
        <v>1</v>
      </c>
      <c r="R1156" t="s">
        <v>1272</v>
      </c>
      <c r="S1156" t="str">
        <f t="shared" si="4"/>
        <v>Phù hợp 1 phần</v>
      </c>
    </row>
    <row r="1157" spans="1:19" hidden="1" x14ac:dyDescent="0.3">
      <c r="A1157" t="s">
        <v>1066</v>
      </c>
      <c r="B1157" t="s">
        <v>1067</v>
      </c>
      <c r="C1157" t="s">
        <v>944</v>
      </c>
      <c r="D1157">
        <v>15013</v>
      </c>
      <c r="E1157" t="s">
        <v>59</v>
      </c>
      <c r="F1157" t="s">
        <v>60</v>
      </c>
      <c r="G1157" t="s">
        <v>61</v>
      </c>
      <c r="H1157" t="s">
        <v>62</v>
      </c>
      <c r="I1157" t="s">
        <v>25</v>
      </c>
      <c r="J1157">
        <v>550</v>
      </c>
      <c r="K1157" t="s">
        <v>63</v>
      </c>
      <c r="N1157">
        <v>10</v>
      </c>
      <c r="O1157">
        <v>0.38019999999999998</v>
      </c>
      <c r="P1157" t="s">
        <v>38</v>
      </c>
      <c r="Q1157" s="1">
        <v>1</v>
      </c>
      <c r="R1157" t="s">
        <v>1272</v>
      </c>
      <c r="S1157" t="str">
        <f t="shared" si="4"/>
        <v>Phù hợp 1 phần</v>
      </c>
    </row>
    <row r="1158" spans="1:19" hidden="1" x14ac:dyDescent="0.3">
      <c r="A1158" t="s">
        <v>1066</v>
      </c>
      <c r="B1158" t="s">
        <v>1067</v>
      </c>
      <c r="C1158" t="s">
        <v>944</v>
      </c>
      <c r="D1158">
        <v>16201</v>
      </c>
      <c r="E1158" t="s">
        <v>349</v>
      </c>
      <c r="F1158" t="s">
        <v>288</v>
      </c>
      <c r="G1158" t="s">
        <v>350</v>
      </c>
      <c r="H1158" t="s">
        <v>351</v>
      </c>
      <c r="I1158" t="s">
        <v>352</v>
      </c>
      <c r="J1158">
        <v>1213</v>
      </c>
      <c r="K1158" t="s">
        <v>353</v>
      </c>
      <c r="L1158">
        <v>10</v>
      </c>
      <c r="M1158">
        <v>7.2004000000000001</v>
      </c>
      <c r="P1158" t="s">
        <v>33</v>
      </c>
      <c r="Q1158" s="1">
        <v>1</v>
      </c>
      <c r="R1158" t="s">
        <v>1272</v>
      </c>
      <c r="S1158" t="str">
        <f t="shared" si="4"/>
        <v>Phù hợp 1 phần</v>
      </c>
    </row>
    <row r="1159" spans="1:19" hidden="1" x14ac:dyDescent="0.3">
      <c r="A1159" t="s">
        <v>1068</v>
      </c>
      <c r="B1159" t="s">
        <v>1069</v>
      </c>
      <c r="C1159" t="s">
        <v>944</v>
      </c>
      <c r="D1159">
        <v>10730</v>
      </c>
      <c r="E1159" t="s">
        <v>317</v>
      </c>
      <c r="F1159" t="s">
        <v>60</v>
      </c>
      <c r="G1159" t="s">
        <v>318</v>
      </c>
      <c r="H1159" t="s">
        <v>319</v>
      </c>
      <c r="I1159" t="s">
        <v>25</v>
      </c>
      <c r="J1159">
        <v>800</v>
      </c>
      <c r="K1159" t="s">
        <v>320</v>
      </c>
      <c r="L1159">
        <v>1</v>
      </c>
      <c r="M1159">
        <v>14.1241</v>
      </c>
      <c r="P1159" t="s">
        <v>33</v>
      </c>
      <c r="Q1159" s="1">
        <v>1</v>
      </c>
      <c r="R1159" t="s">
        <v>1272</v>
      </c>
      <c r="S1159" t="str">
        <f t="shared" si="4"/>
        <v>Phù hợp 1 phần</v>
      </c>
    </row>
    <row r="1160" spans="1:19" hidden="1" x14ac:dyDescent="0.3">
      <c r="A1160" t="s">
        <v>1068</v>
      </c>
      <c r="B1160" t="s">
        <v>1069</v>
      </c>
      <c r="C1160" t="s">
        <v>944</v>
      </c>
      <c r="D1160">
        <v>18885</v>
      </c>
      <c r="E1160" t="s">
        <v>86</v>
      </c>
      <c r="F1160" t="s">
        <v>60</v>
      </c>
      <c r="G1160" t="s">
        <v>87</v>
      </c>
      <c r="H1160" t="s">
        <v>88</v>
      </c>
      <c r="I1160" t="s">
        <v>31</v>
      </c>
      <c r="J1160">
        <v>596</v>
      </c>
      <c r="K1160" t="s">
        <v>89</v>
      </c>
      <c r="N1160">
        <v>1</v>
      </c>
      <c r="O1160">
        <v>0.48380000000000001</v>
      </c>
      <c r="P1160" t="s">
        <v>38</v>
      </c>
      <c r="Q1160" s="1">
        <v>1</v>
      </c>
      <c r="R1160" t="s">
        <v>1272</v>
      </c>
      <c r="S1160" t="str">
        <f t="shared" si="4"/>
        <v>Phù hợp 1 phần</v>
      </c>
    </row>
    <row r="1161" spans="1:19" hidden="1" x14ac:dyDescent="0.3">
      <c r="A1161" t="s">
        <v>1068</v>
      </c>
      <c r="B1161" t="s">
        <v>1069</v>
      </c>
      <c r="C1161" t="s">
        <v>944</v>
      </c>
      <c r="D1161">
        <v>13674</v>
      </c>
      <c r="E1161" t="s">
        <v>78</v>
      </c>
      <c r="F1161" t="s">
        <v>22</v>
      </c>
      <c r="G1161" t="s">
        <v>79</v>
      </c>
      <c r="H1161" t="s">
        <v>80</v>
      </c>
      <c r="I1161" t="s">
        <v>31</v>
      </c>
      <c r="J1161">
        <v>1127</v>
      </c>
      <c r="K1161" t="s">
        <v>81</v>
      </c>
      <c r="N1161">
        <v>2</v>
      </c>
      <c r="O1161">
        <v>0.47849999999999998</v>
      </c>
      <c r="P1161" t="s">
        <v>38</v>
      </c>
      <c r="Q1161" s="1">
        <v>1</v>
      </c>
      <c r="R1161" t="s">
        <v>1272</v>
      </c>
      <c r="S1161" t="str">
        <f t="shared" si="4"/>
        <v>Phù hợp 1 phần</v>
      </c>
    </row>
    <row r="1162" spans="1:19" hidden="1" x14ac:dyDescent="0.3">
      <c r="A1162" t="s">
        <v>1068</v>
      </c>
      <c r="B1162" t="s">
        <v>1069</v>
      </c>
      <c r="C1162" t="s">
        <v>944</v>
      </c>
      <c r="D1162">
        <v>19710</v>
      </c>
      <c r="E1162" t="s">
        <v>199</v>
      </c>
      <c r="F1162" t="s">
        <v>200</v>
      </c>
      <c r="G1162" t="s">
        <v>201</v>
      </c>
      <c r="H1162" t="s">
        <v>202</v>
      </c>
      <c r="I1162" t="s">
        <v>31</v>
      </c>
      <c r="J1162">
        <v>262</v>
      </c>
      <c r="K1162" t="s">
        <v>203</v>
      </c>
      <c r="L1162">
        <v>2</v>
      </c>
      <c r="M1162">
        <v>12.628</v>
      </c>
      <c r="P1162" t="s">
        <v>33</v>
      </c>
      <c r="Q1162" s="1">
        <v>1</v>
      </c>
      <c r="R1162" t="s">
        <v>1272</v>
      </c>
      <c r="S1162" t="str">
        <f t="shared" si="4"/>
        <v>Phù hợp 1 phần</v>
      </c>
    </row>
    <row r="1163" spans="1:19" hidden="1" x14ac:dyDescent="0.3">
      <c r="A1163" t="s">
        <v>1068</v>
      </c>
      <c r="B1163" t="s">
        <v>1069</v>
      </c>
      <c r="C1163" t="s">
        <v>944</v>
      </c>
      <c r="D1163">
        <v>11553</v>
      </c>
      <c r="E1163" t="s">
        <v>623</v>
      </c>
      <c r="F1163" t="s">
        <v>60</v>
      </c>
      <c r="G1163" t="s">
        <v>624</v>
      </c>
      <c r="H1163" t="s">
        <v>625</v>
      </c>
      <c r="I1163" t="s">
        <v>31</v>
      </c>
      <c r="J1163">
        <v>489</v>
      </c>
      <c r="K1163" t="s">
        <v>626</v>
      </c>
      <c r="L1163">
        <v>3</v>
      </c>
      <c r="M1163">
        <v>11.831300000000001</v>
      </c>
      <c r="P1163" t="s">
        <v>33</v>
      </c>
      <c r="Q1163" s="1">
        <v>1</v>
      </c>
      <c r="R1163" t="s">
        <v>1272</v>
      </c>
      <c r="S1163" t="str">
        <f t="shared" si="4"/>
        <v>Phù hợp 1 phần</v>
      </c>
    </row>
    <row r="1164" spans="1:19" hidden="1" x14ac:dyDescent="0.3">
      <c r="A1164" t="s">
        <v>1068</v>
      </c>
      <c r="B1164" t="s">
        <v>1069</v>
      </c>
      <c r="C1164" t="s">
        <v>944</v>
      </c>
      <c r="D1164">
        <v>12094</v>
      </c>
      <c r="E1164" t="s">
        <v>1059</v>
      </c>
      <c r="F1164" t="s">
        <v>60</v>
      </c>
      <c r="G1164" t="s">
        <v>318</v>
      </c>
      <c r="H1164" t="s">
        <v>1060</v>
      </c>
      <c r="I1164" t="s">
        <v>31</v>
      </c>
      <c r="J1164">
        <v>662</v>
      </c>
      <c r="K1164" t="s">
        <v>1061</v>
      </c>
      <c r="N1164">
        <v>3</v>
      </c>
      <c r="O1164">
        <v>0.46639999999999998</v>
      </c>
      <c r="P1164" t="s">
        <v>38</v>
      </c>
      <c r="Q1164" s="1">
        <v>1</v>
      </c>
      <c r="R1164" t="s">
        <v>1272</v>
      </c>
      <c r="S1164" t="str">
        <f t="shared" si="4"/>
        <v>Phù hợp 1 phần</v>
      </c>
    </row>
    <row r="1165" spans="1:19" hidden="1" x14ac:dyDescent="0.3">
      <c r="A1165" t="s">
        <v>1068</v>
      </c>
      <c r="B1165" t="s">
        <v>1069</v>
      </c>
      <c r="C1165" t="s">
        <v>944</v>
      </c>
      <c r="D1165">
        <v>18913</v>
      </c>
      <c r="E1165" t="s">
        <v>1070</v>
      </c>
      <c r="F1165" t="s">
        <v>60</v>
      </c>
      <c r="G1165" t="s">
        <v>318</v>
      </c>
      <c r="H1165" t="s">
        <v>1071</v>
      </c>
      <c r="I1165" t="s">
        <v>31</v>
      </c>
      <c r="J1165">
        <v>505</v>
      </c>
      <c r="K1165" t="s">
        <v>1072</v>
      </c>
      <c r="N1165">
        <v>4</v>
      </c>
      <c r="O1165">
        <v>0.46079999999999999</v>
      </c>
      <c r="P1165" t="s">
        <v>38</v>
      </c>
      <c r="Q1165" s="1">
        <v>1</v>
      </c>
      <c r="R1165" t="s">
        <v>1272</v>
      </c>
      <c r="S1165" t="str">
        <f t="shared" ref="S1165:S1228" si="5">IF(Q1165=2,"ok",IF(Q1165=1,"Phù hợp 1 phần", "ko hợp"))</f>
        <v>Phù hợp 1 phần</v>
      </c>
    </row>
    <row r="1166" spans="1:19" hidden="1" x14ac:dyDescent="0.3">
      <c r="A1166" t="s">
        <v>1068</v>
      </c>
      <c r="B1166" t="s">
        <v>1069</v>
      </c>
      <c r="C1166" t="s">
        <v>944</v>
      </c>
      <c r="D1166">
        <v>20392</v>
      </c>
      <c r="E1166" t="s">
        <v>661</v>
      </c>
      <c r="F1166" t="s">
        <v>662</v>
      </c>
      <c r="G1166" t="s">
        <v>41</v>
      </c>
      <c r="H1166" t="s">
        <v>663</v>
      </c>
      <c r="I1166" t="s">
        <v>25</v>
      </c>
      <c r="J1166">
        <v>980</v>
      </c>
      <c r="K1166" t="s">
        <v>664</v>
      </c>
      <c r="L1166">
        <v>4</v>
      </c>
      <c r="M1166">
        <v>11.6214</v>
      </c>
      <c r="P1166" t="s">
        <v>33</v>
      </c>
      <c r="Q1166" s="1">
        <v>0</v>
      </c>
      <c r="R1166" t="s">
        <v>1272</v>
      </c>
      <c r="S1166" t="str">
        <f t="shared" si="5"/>
        <v>ko hợp</v>
      </c>
    </row>
    <row r="1167" spans="1:19" hidden="1" x14ac:dyDescent="0.3">
      <c r="A1167" t="s">
        <v>1068</v>
      </c>
      <c r="B1167" t="s">
        <v>1069</v>
      </c>
      <c r="C1167" t="s">
        <v>944</v>
      </c>
      <c r="D1167">
        <v>18959</v>
      </c>
      <c r="E1167" t="s">
        <v>1073</v>
      </c>
      <c r="F1167" t="s">
        <v>293</v>
      </c>
      <c r="G1167" t="s">
        <v>1074</v>
      </c>
      <c r="H1167" t="s">
        <v>1075</v>
      </c>
      <c r="I1167" t="s">
        <v>31</v>
      </c>
      <c r="J1167">
        <v>498</v>
      </c>
      <c r="K1167" t="s">
        <v>1076</v>
      </c>
      <c r="L1167">
        <v>5</v>
      </c>
      <c r="M1167">
        <v>11.067600000000001</v>
      </c>
      <c r="P1167" t="s">
        <v>33</v>
      </c>
      <c r="Q1167" s="1">
        <v>1</v>
      </c>
      <c r="R1167" t="s">
        <v>1272</v>
      </c>
      <c r="S1167" t="str">
        <f t="shared" si="5"/>
        <v>Phù hợp 1 phần</v>
      </c>
    </row>
    <row r="1168" spans="1:19" hidden="1" x14ac:dyDescent="0.3">
      <c r="A1168" t="s">
        <v>1068</v>
      </c>
      <c r="B1168" t="s">
        <v>1069</v>
      </c>
      <c r="C1168" t="s">
        <v>944</v>
      </c>
      <c r="D1168">
        <v>20776</v>
      </c>
      <c r="E1168" t="s">
        <v>739</v>
      </c>
      <c r="F1168" t="s">
        <v>740</v>
      </c>
      <c r="G1168" t="s">
        <v>741</v>
      </c>
      <c r="H1168" t="s">
        <v>742</v>
      </c>
      <c r="I1168" t="s">
        <v>31</v>
      </c>
      <c r="J1168">
        <v>386</v>
      </c>
      <c r="K1168" t="s">
        <v>743</v>
      </c>
      <c r="N1168">
        <v>5</v>
      </c>
      <c r="O1168">
        <v>0.4516</v>
      </c>
      <c r="P1168" t="s">
        <v>38</v>
      </c>
      <c r="Q1168" s="1">
        <v>1</v>
      </c>
      <c r="R1168" t="s">
        <v>1272</v>
      </c>
      <c r="S1168" t="str">
        <f t="shared" si="5"/>
        <v>Phù hợp 1 phần</v>
      </c>
    </row>
    <row r="1169" spans="1:19" hidden="1" x14ac:dyDescent="0.3">
      <c r="A1169" t="s">
        <v>1068</v>
      </c>
      <c r="B1169" t="s">
        <v>1069</v>
      </c>
      <c r="C1169" t="s">
        <v>944</v>
      </c>
      <c r="D1169">
        <v>13739</v>
      </c>
      <c r="E1169" t="s">
        <v>358</v>
      </c>
      <c r="F1169" t="s">
        <v>288</v>
      </c>
      <c r="G1169" t="s">
        <v>359</v>
      </c>
      <c r="H1169" t="s">
        <v>360</v>
      </c>
      <c r="I1169" t="s">
        <v>31</v>
      </c>
      <c r="J1169">
        <v>610</v>
      </c>
      <c r="K1169" t="s">
        <v>361</v>
      </c>
      <c r="N1169">
        <v>6</v>
      </c>
      <c r="O1169">
        <v>0.44750000000000001</v>
      </c>
      <c r="P1169" t="s">
        <v>38</v>
      </c>
      <c r="Q1169" s="1">
        <v>1</v>
      </c>
      <c r="R1169" t="s">
        <v>1272</v>
      </c>
      <c r="S1169" t="str">
        <f t="shared" si="5"/>
        <v>Phù hợp 1 phần</v>
      </c>
    </row>
    <row r="1170" spans="1:19" hidden="1" x14ac:dyDescent="0.3">
      <c r="A1170" t="s">
        <v>1068</v>
      </c>
      <c r="B1170" t="s">
        <v>1069</v>
      </c>
      <c r="C1170" t="s">
        <v>944</v>
      </c>
      <c r="D1170">
        <v>18746</v>
      </c>
      <c r="E1170" t="s">
        <v>253</v>
      </c>
      <c r="F1170" t="s">
        <v>254</v>
      </c>
      <c r="G1170" t="s">
        <v>255</v>
      </c>
      <c r="H1170" t="s">
        <v>256</v>
      </c>
      <c r="I1170" t="s">
        <v>25</v>
      </c>
      <c r="J1170">
        <v>1493</v>
      </c>
      <c r="K1170" t="s">
        <v>257</v>
      </c>
      <c r="L1170">
        <v>6</v>
      </c>
      <c r="M1170">
        <v>10.2926</v>
      </c>
      <c r="P1170" t="s">
        <v>33</v>
      </c>
      <c r="Q1170" s="1">
        <v>1</v>
      </c>
      <c r="R1170" t="s">
        <v>1272</v>
      </c>
      <c r="S1170" t="str">
        <f t="shared" si="5"/>
        <v>Phù hợp 1 phần</v>
      </c>
    </row>
    <row r="1171" spans="1:19" hidden="1" x14ac:dyDescent="0.3">
      <c r="A1171" t="s">
        <v>1068</v>
      </c>
      <c r="B1171" t="s">
        <v>1069</v>
      </c>
      <c r="C1171" t="s">
        <v>944</v>
      </c>
      <c r="D1171">
        <v>5138</v>
      </c>
      <c r="E1171" t="s">
        <v>870</v>
      </c>
      <c r="F1171" t="s">
        <v>60</v>
      </c>
      <c r="G1171" t="s">
        <v>871</v>
      </c>
      <c r="H1171" t="s">
        <v>872</v>
      </c>
      <c r="I1171" t="s">
        <v>25</v>
      </c>
      <c r="J1171">
        <v>475</v>
      </c>
      <c r="K1171" t="s">
        <v>873</v>
      </c>
      <c r="N1171">
        <v>7</v>
      </c>
      <c r="O1171">
        <v>0.44419999999999998</v>
      </c>
      <c r="P1171" t="s">
        <v>38</v>
      </c>
      <c r="Q1171" s="1">
        <v>0</v>
      </c>
      <c r="R1171" t="s">
        <v>1272</v>
      </c>
      <c r="S1171" t="str">
        <f t="shared" si="5"/>
        <v>ko hợp</v>
      </c>
    </row>
    <row r="1172" spans="1:19" hidden="1" x14ac:dyDescent="0.3">
      <c r="A1172" t="s">
        <v>1068</v>
      </c>
      <c r="B1172" t="s">
        <v>1069</v>
      </c>
      <c r="C1172" t="s">
        <v>944</v>
      </c>
      <c r="D1172">
        <v>17365</v>
      </c>
      <c r="E1172" t="s">
        <v>578</v>
      </c>
      <c r="F1172" t="s">
        <v>60</v>
      </c>
      <c r="G1172" t="s">
        <v>579</v>
      </c>
      <c r="H1172" t="s">
        <v>580</v>
      </c>
      <c r="I1172" t="s">
        <v>31</v>
      </c>
      <c r="J1172">
        <v>1906</v>
      </c>
      <c r="K1172" t="s">
        <v>581</v>
      </c>
      <c r="L1172">
        <v>7</v>
      </c>
      <c r="M1172">
        <v>9.8120999999999992</v>
      </c>
      <c r="P1172" t="s">
        <v>33</v>
      </c>
      <c r="Q1172" s="1">
        <v>1</v>
      </c>
      <c r="R1172" t="s">
        <v>1272</v>
      </c>
      <c r="S1172" t="str">
        <f t="shared" si="5"/>
        <v>Phù hợp 1 phần</v>
      </c>
    </row>
    <row r="1173" spans="1:19" hidden="1" x14ac:dyDescent="0.3">
      <c r="A1173" t="s">
        <v>1068</v>
      </c>
      <c r="B1173" t="s">
        <v>1069</v>
      </c>
      <c r="C1173" t="s">
        <v>944</v>
      </c>
      <c r="D1173">
        <v>13623</v>
      </c>
      <c r="E1173" t="s">
        <v>548</v>
      </c>
      <c r="F1173" t="s">
        <v>60</v>
      </c>
      <c r="G1173" t="s">
        <v>318</v>
      </c>
      <c r="H1173" t="s">
        <v>549</v>
      </c>
      <c r="I1173" t="s">
        <v>31</v>
      </c>
      <c r="J1173">
        <v>509</v>
      </c>
      <c r="K1173" t="s">
        <v>550</v>
      </c>
      <c r="L1173">
        <v>8</v>
      </c>
      <c r="M1173">
        <v>9.6847999999999992</v>
      </c>
      <c r="P1173" t="s">
        <v>33</v>
      </c>
      <c r="Q1173" s="1">
        <v>1</v>
      </c>
      <c r="R1173" t="s">
        <v>1272</v>
      </c>
      <c r="S1173" t="str">
        <f t="shared" si="5"/>
        <v>Phù hợp 1 phần</v>
      </c>
    </row>
    <row r="1174" spans="1:19" hidden="1" x14ac:dyDescent="0.3">
      <c r="A1174" t="s">
        <v>1068</v>
      </c>
      <c r="B1174" t="s">
        <v>1069</v>
      </c>
      <c r="C1174" t="s">
        <v>944</v>
      </c>
      <c r="D1174">
        <v>14684</v>
      </c>
      <c r="E1174" t="s">
        <v>847</v>
      </c>
      <c r="F1174" t="s">
        <v>60</v>
      </c>
      <c r="G1174" t="s">
        <v>61</v>
      </c>
      <c r="H1174" t="s">
        <v>848</v>
      </c>
      <c r="I1174" t="s">
        <v>25</v>
      </c>
      <c r="J1174">
        <v>1309</v>
      </c>
      <c r="K1174" t="s">
        <v>849</v>
      </c>
      <c r="N1174">
        <v>8</v>
      </c>
      <c r="O1174">
        <v>0.44009999999999999</v>
      </c>
      <c r="P1174" t="s">
        <v>38</v>
      </c>
      <c r="Q1174" s="1">
        <v>0</v>
      </c>
      <c r="R1174" t="s">
        <v>1272</v>
      </c>
      <c r="S1174" t="str">
        <f t="shared" si="5"/>
        <v>ko hợp</v>
      </c>
    </row>
    <row r="1175" spans="1:19" hidden="1" x14ac:dyDescent="0.3">
      <c r="A1175" t="s">
        <v>1068</v>
      </c>
      <c r="B1175" t="s">
        <v>1069</v>
      </c>
      <c r="C1175" t="s">
        <v>944</v>
      </c>
      <c r="D1175">
        <v>14198</v>
      </c>
      <c r="E1175" t="s">
        <v>73</v>
      </c>
      <c r="F1175" t="s">
        <v>74</v>
      </c>
      <c r="G1175" t="s">
        <v>75</v>
      </c>
      <c r="H1175" t="s">
        <v>76</v>
      </c>
      <c r="I1175" t="s">
        <v>31</v>
      </c>
      <c r="J1175">
        <v>377</v>
      </c>
      <c r="K1175" t="s">
        <v>77</v>
      </c>
      <c r="N1175">
        <v>9</v>
      </c>
      <c r="O1175">
        <v>0.43930000000000002</v>
      </c>
      <c r="P1175" t="s">
        <v>38</v>
      </c>
      <c r="Q1175" s="1">
        <v>1</v>
      </c>
      <c r="R1175" t="s">
        <v>1272</v>
      </c>
      <c r="S1175" t="str">
        <f t="shared" si="5"/>
        <v>Phù hợp 1 phần</v>
      </c>
    </row>
    <row r="1176" spans="1:19" hidden="1" x14ac:dyDescent="0.3">
      <c r="A1176" t="s">
        <v>1068</v>
      </c>
      <c r="B1176" t="s">
        <v>1069</v>
      </c>
      <c r="C1176" t="s">
        <v>944</v>
      </c>
      <c r="D1176">
        <v>19982</v>
      </c>
      <c r="E1176" t="s">
        <v>28</v>
      </c>
      <c r="F1176" t="s">
        <v>22</v>
      </c>
      <c r="G1176" t="s">
        <v>29</v>
      </c>
      <c r="H1176" t="s">
        <v>30</v>
      </c>
      <c r="I1176" t="s">
        <v>31</v>
      </c>
      <c r="J1176">
        <v>543</v>
      </c>
      <c r="K1176" t="s">
        <v>32</v>
      </c>
      <c r="L1176">
        <v>9</v>
      </c>
      <c r="M1176">
        <v>9.5579999999999998</v>
      </c>
      <c r="P1176" t="s">
        <v>33</v>
      </c>
      <c r="Q1176" s="1">
        <v>1</v>
      </c>
      <c r="R1176" t="s">
        <v>1272</v>
      </c>
      <c r="S1176" t="str">
        <f t="shared" si="5"/>
        <v>Phù hợp 1 phần</v>
      </c>
    </row>
    <row r="1177" spans="1:19" hidden="1" x14ac:dyDescent="0.3">
      <c r="A1177" t="s">
        <v>1068</v>
      </c>
      <c r="B1177" t="s">
        <v>1069</v>
      </c>
      <c r="C1177" t="s">
        <v>944</v>
      </c>
      <c r="D1177">
        <v>1097</v>
      </c>
      <c r="E1177" t="s">
        <v>362</v>
      </c>
      <c r="F1177" t="s">
        <v>288</v>
      </c>
      <c r="G1177" t="s">
        <v>363</v>
      </c>
      <c r="H1177" t="s">
        <v>364</v>
      </c>
      <c r="I1177" t="s">
        <v>25</v>
      </c>
      <c r="J1177">
        <v>280</v>
      </c>
      <c r="K1177" t="s">
        <v>365</v>
      </c>
      <c r="L1177">
        <v>10</v>
      </c>
      <c r="M1177">
        <v>9.4772999999999996</v>
      </c>
      <c r="P1177" t="s">
        <v>33</v>
      </c>
      <c r="Q1177" s="1">
        <v>0</v>
      </c>
      <c r="R1177" t="s">
        <v>1272</v>
      </c>
      <c r="S1177" t="str">
        <f t="shared" si="5"/>
        <v>ko hợp</v>
      </c>
    </row>
    <row r="1178" spans="1:19" hidden="1" x14ac:dyDescent="0.3">
      <c r="A1178" t="s">
        <v>1068</v>
      </c>
      <c r="B1178" t="s">
        <v>1069</v>
      </c>
      <c r="C1178" t="s">
        <v>944</v>
      </c>
      <c r="D1178">
        <v>15013</v>
      </c>
      <c r="E1178" t="s">
        <v>59</v>
      </c>
      <c r="F1178" t="s">
        <v>60</v>
      </c>
      <c r="G1178" t="s">
        <v>61</v>
      </c>
      <c r="H1178" t="s">
        <v>62</v>
      </c>
      <c r="I1178" t="s">
        <v>25</v>
      </c>
      <c r="J1178">
        <v>550</v>
      </c>
      <c r="K1178" t="s">
        <v>63</v>
      </c>
      <c r="N1178">
        <v>10</v>
      </c>
      <c r="O1178">
        <v>0.43909999999999999</v>
      </c>
      <c r="P1178" t="s">
        <v>38</v>
      </c>
      <c r="Q1178" s="1">
        <v>0</v>
      </c>
      <c r="R1178" t="s">
        <v>1272</v>
      </c>
      <c r="S1178" t="str">
        <f t="shared" si="5"/>
        <v>ko hợp</v>
      </c>
    </row>
    <row r="1179" spans="1:19" hidden="1" x14ac:dyDescent="0.3">
      <c r="A1179" t="s">
        <v>1077</v>
      </c>
      <c r="B1179" t="s">
        <v>1078</v>
      </c>
      <c r="C1179" t="s">
        <v>1079</v>
      </c>
      <c r="D1179">
        <v>13561</v>
      </c>
      <c r="E1179" t="s">
        <v>832</v>
      </c>
      <c r="F1179" t="s">
        <v>60</v>
      </c>
      <c r="G1179" t="s">
        <v>833</v>
      </c>
      <c r="H1179" t="s">
        <v>834</v>
      </c>
      <c r="I1179" t="s">
        <v>31</v>
      </c>
      <c r="J1179">
        <v>498</v>
      </c>
      <c r="K1179" t="s">
        <v>835</v>
      </c>
      <c r="N1179">
        <v>1</v>
      </c>
      <c r="O1179">
        <v>0.48330000000000001</v>
      </c>
      <c r="P1179" t="s">
        <v>38</v>
      </c>
      <c r="Q1179" s="1">
        <v>2</v>
      </c>
      <c r="R1179" t="s">
        <v>1272</v>
      </c>
      <c r="S1179" t="str">
        <f t="shared" si="5"/>
        <v>ok</v>
      </c>
    </row>
    <row r="1180" spans="1:19" hidden="1" x14ac:dyDescent="0.3">
      <c r="A1180" t="s">
        <v>1077</v>
      </c>
      <c r="B1180" t="s">
        <v>1078</v>
      </c>
      <c r="C1180" t="s">
        <v>1079</v>
      </c>
      <c r="D1180">
        <v>19710</v>
      </c>
      <c r="E1180" t="s">
        <v>199</v>
      </c>
      <c r="F1180" t="s">
        <v>200</v>
      </c>
      <c r="G1180" t="s">
        <v>201</v>
      </c>
      <c r="H1180" t="s">
        <v>202</v>
      </c>
      <c r="I1180" t="s">
        <v>31</v>
      </c>
      <c r="J1180">
        <v>262</v>
      </c>
      <c r="K1180" t="s">
        <v>203</v>
      </c>
      <c r="L1180">
        <v>1</v>
      </c>
      <c r="M1180">
        <v>19.8141</v>
      </c>
      <c r="P1180" t="s">
        <v>33</v>
      </c>
      <c r="Q1180" s="1">
        <v>2</v>
      </c>
      <c r="R1180" t="s">
        <v>1272</v>
      </c>
      <c r="S1180" t="str">
        <f t="shared" si="5"/>
        <v>ok</v>
      </c>
    </row>
    <row r="1181" spans="1:19" hidden="1" x14ac:dyDescent="0.3">
      <c r="A1181" t="s">
        <v>1077</v>
      </c>
      <c r="B1181" t="s">
        <v>1078</v>
      </c>
      <c r="C1181" t="s">
        <v>1079</v>
      </c>
      <c r="D1181">
        <v>16145</v>
      </c>
      <c r="E1181" t="s">
        <v>182</v>
      </c>
      <c r="F1181" t="s">
        <v>155</v>
      </c>
      <c r="G1181" t="s">
        <v>183</v>
      </c>
      <c r="H1181" t="s">
        <v>184</v>
      </c>
      <c r="I1181" t="s">
        <v>31</v>
      </c>
      <c r="J1181">
        <v>2447</v>
      </c>
      <c r="K1181" t="s">
        <v>185</v>
      </c>
      <c r="N1181">
        <v>2</v>
      </c>
      <c r="O1181">
        <v>0.4783</v>
      </c>
      <c r="P1181" t="s">
        <v>38</v>
      </c>
      <c r="Q1181" s="1">
        <v>0</v>
      </c>
      <c r="R1181" t="s">
        <v>1272</v>
      </c>
      <c r="S1181" t="str">
        <f t="shared" si="5"/>
        <v>ko hợp</v>
      </c>
    </row>
    <row r="1182" spans="1:19" hidden="1" x14ac:dyDescent="0.3">
      <c r="A1182" t="s">
        <v>1077</v>
      </c>
      <c r="B1182" t="s">
        <v>1078</v>
      </c>
      <c r="C1182" t="s">
        <v>1079</v>
      </c>
      <c r="D1182">
        <v>19299</v>
      </c>
      <c r="E1182" t="s">
        <v>1080</v>
      </c>
      <c r="F1182" t="s">
        <v>1081</v>
      </c>
      <c r="G1182" t="s">
        <v>1082</v>
      </c>
      <c r="H1182" t="s">
        <v>1083</v>
      </c>
      <c r="I1182" t="s">
        <v>31</v>
      </c>
      <c r="J1182">
        <v>439</v>
      </c>
      <c r="K1182" t="s">
        <v>1084</v>
      </c>
      <c r="L1182">
        <v>2</v>
      </c>
      <c r="M1182">
        <v>17.6174</v>
      </c>
      <c r="P1182" t="s">
        <v>33</v>
      </c>
      <c r="Q1182" s="1">
        <v>2</v>
      </c>
      <c r="R1182" t="s">
        <v>1272</v>
      </c>
      <c r="S1182" t="str">
        <f t="shared" si="5"/>
        <v>ok</v>
      </c>
    </row>
    <row r="1183" spans="1:19" hidden="1" x14ac:dyDescent="0.3">
      <c r="A1183" t="s">
        <v>1077</v>
      </c>
      <c r="B1183" t="s">
        <v>1078</v>
      </c>
      <c r="C1183" t="s">
        <v>1079</v>
      </c>
      <c r="D1183">
        <v>16769</v>
      </c>
      <c r="E1183" t="s">
        <v>1085</v>
      </c>
      <c r="F1183" t="s">
        <v>74</v>
      </c>
      <c r="G1183" t="s">
        <v>1086</v>
      </c>
      <c r="H1183" t="s">
        <v>1087</v>
      </c>
      <c r="I1183" t="s">
        <v>31</v>
      </c>
      <c r="J1183">
        <v>939</v>
      </c>
      <c r="K1183" t="s">
        <v>1088</v>
      </c>
      <c r="N1183">
        <v>3</v>
      </c>
      <c r="O1183">
        <v>0.47720000000000001</v>
      </c>
      <c r="P1183" t="s">
        <v>38</v>
      </c>
      <c r="Q1183" s="1">
        <v>2</v>
      </c>
      <c r="R1183" t="s">
        <v>1272</v>
      </c>
      <c r="S1183" t="str">
        <f t="shared" si="5"/>
        <v>ok</v>
      </c>
    </row>
    <row r="1184" spans="1:19" hidden="1" x14ac:dyDescent="0.3">
      <c r="A1184" t="s">
        <v>1077</v>
      </c>
      <c r="B1184" t="s">
        <v>1078</v>
      </c>
      <c r="C1184" t="s">
        <v>1079</v>
      </c>
      <c r="D1184">
        <v>19735</v>
      </c>
      <c r="E1184" t="s">
        <v>827</v>
      </c>
      <c r="F1184" t="s">
        <v>828</v>
      </c>
      <c r="G1184" t="s">
        <v>829</v>
      </c>
      <c r="H1184" t="s">
        <v>830</v>
      </c>
      <c r="I1184" t="s">
        <v>25</v>
      </c>
      <c r="J1184">
        <v>559</v>
      </c>
      <c r="K1184" t="s">
        <v>831</v>
      </c>
      <c r="L1184">
        <v>3</v>
      </c>
      <c r="M1184">
        <v>15.8643</v>
      </c>
      <c r="N1184">
        <v>10</v>
      </c>
      <c r="O1184">
        <v>0.43099999999999999</v>
      </c>
      <c r="P1184" t="s">
        <v>27</v>
      </c>
      <c r="Q1184" s="1">
        <v>2</v>
      </c>
      <c r="R1184" t="s">
        <v>1272</v>
      </c>
      <c r="S1184" t="str">
        <f t="shared" si="5"/>
        <v>ok</v>
      </c>
    </row>
    <row r="1185" spans="1:19" hidden="1" x14ac:dyDescent="0.3">
      <c r="A1185" t="s">
        <v>1077</v>
      </c>
      <c r="B1185" t="s">
        <v>1078</v>
      </c>
      <c r="C1185" t="s">
        <v>1079</v>
      </c>
      <c r="D1185">
        <v>15905</v>
      </c>
      <c r="E1185" t="s">
        <v>262</v>
      </c>
      <c r="F1185" t="s">
        <v>60</v>
      </c>
      <c r="G1185" t="s">
        <v>263</v>
      </c>
      <c r="H1185" t="s">
        <v>264</v>
      </c>
      <c r="I1185" t="s">
        <v>31</v>
      </c>
      <c r="J1185">
        <v>772</v>
      </c>
      <c r="K1185" t="s">
        <v>265</v>
      </c>
      <c r="L1185">
        <v>4</v>
      </c>
      <c r="M1185">
        <v>15.191700000000001</v>
      </c>
      <c r="P1185" t="s">
        <v>33</v>
      </c>
      <c r="Q1185" s="1">
        <v>0</v>
      </c>
      <c r="R1185" t="s">
        <v>1272</v>
      </c>
      <c r="S1185" t="str">
        <f t="shared" si="5"/>
        <v>ko hợp</v>
      </c>
    </row>
    <row r="1186" spans="1:19" hidden="1" x14ac:dyDescent="0.3">
      <c r="A1186" t="s">
        <v>1077</v>
      </c>
      <c r="B1186" t="s">
        <v>1078</v>
      </c>
      <c r="C1186" t="s">
        <v>1079</v>
      </c>
      <c r="D1186">
        <v>16290</v>
      </c>
      <c r="E1186" t="s">
        <v>799</v>
      </c>
      <c r="F1186" t="s">
        <v>74</v>
      </c>
      <c r="G1186" t="s">
        <v>800</v>
      </c>
      <c r="H1186" t="s">
        <v>801</v>
      </c>
      <c r="I1186" t="s">
        <v>25</v>
      </c>
      <c r="J1186">
        <v>511</v>
      </c>
      <c r="K1186" t="s">
        <v>802</v>
      </c>
      <c r="N1186">
        <v>4</v>
      </c>
      <c r="O1186">
        <v>0.4607</v>
      </c>
      <c r="P1186" t="s">
        <v>38</v>
      </c>
      <c r="Q1186" s="1">
        <v>0</v>
      </c>
      <c r="R1186" t="s">
        <v>1272</v>
      </c>
      <c r="S1186" t="str">
        <f t="shared" si="5"/>
        <v>ko hợp</v>
      </c>
    </row>
    <row r="1187" spans="1:19" hidden="1" x14ac:dyDescent="0.3">
      <c r="A1187" t="s">
        <v>1077</v>
      </c>
      <c r="B1187" t="s">
        <v>1078</v>
      </c>
      <c r="C1187" t="s">
        <v>1079</v>
      </c>
      <c r="D1187">
        <v>11242</v>
      </c>
      <c r="E1187" t="s">
        <v>1089</v>
      </c>
      <c r="F1187" t="s">
        <v>74</v>
      </c>
      <c r="G1187" t="s">
        <v>1090</v>
      </c>
      <c r="H1187" t="s">
        <v>1091</v>
      </c>
      <c r="I1187" t="s">
        <v>25</v>
      </c>
      <c r="J1187">
        <v>2655</v>
      </c>
      <c r="K1187" t="s">
        <v>1092</v>
      </c>
      <c r="N1187">
        <v>5</v>
      </c>
      <c r="O1187">
        <v>0.45219999999999999</v>
      </c>
      <c r="P1187" t="s">
        <v>38</v>
      </c>
      <c r="Q1187" s="1">
        <v>0</v>
      </c>
      <c r="R1187" t="s">
        <v>1272</v>
      </c>
      <c r="S1187" t="str">
        <f t="shared" si="5"/>
        <v>ko hợp</v>
      </c>
    </row>
    <row r="1188" spans="1:19" hidden="1" x14ac:dyDescent="0.3">
      <c r="A1188" t="s">
        <v>1077</v>
      </c>
      <c r="B1188" t="s">
        <v>1078</v>
      </c>
      <c r="C1188" t="s">
        <v>1079</v>
      </c>
      <c r="D1188">
        <v>12085</v>
      </c>
      <c r="E1188" t="s">
        <v>1093</v>
      </c>
      <c r="F1188" t="s">
        <v>60</v>
      </c>
      <c r="G1188" t="s">
        <v>520</v>
      </c>
      <c r="H1188" t="s">
        <v>1094</v>
      </c>
      <c r="I1188" t="s">
        <v>31</v>
      </c>
      <c r="J1188">
        <v>2933</v>
      </c>
      <c r="K1188" t="s">
        <v>1095</v>
      </c>
      <c r="L1188">
        <v>5</v>
      </c>
      <c r="M1188">
        <v>14.222099999999999</v>
      </c>
      <c r="P1188" t="s">
        <v>33</v>
      </c>
      <c r="Q1188" s="1">
        <v>0</v>
      </c>
      <c r="R1188" t="s">
        <v>1272</v>
      </c>
      <c r="S1188" t="str">
        <f t="shared" si="5"/>
        <v>ko hợp</v>
      </c>
    </row>
    <row r="1189" spans="1:19" hidden="1" x14ac:dyDescent="0.3">
      <c r="A1189" t="s">
        <v>1077</v>
      </c>
      <c r="B1189" t="s">
        <v>1078</v>
      </c>
      <c r="C1189" t="s">
        <v>1079</v>
      </c>
      <c r="D1189">
        <v>20101</v>
      </c>
      <c r="E1189" t="s">
        <v>1096</v>
      </c>
      <c r="F1189" t="s">
        <v>1097</v>
      </c>
      <c r="G1189" t="s">
        <v>1098</v>
      </c>
      <c r="H1189" t="s">
        <v>1099</v>
      </c>
      <c r="I1189" t="s">
        <v>25</v>
      </c>
      <c r="J1189">
        <v>435</v>
      </c>
      <c r="K1189" t="s">
        <v>1100</v>
      </c>
      <c r="L1189">
        <v>6</v>
      </c>
      <c r="M1189">
        <v>13.7301</v>
      </c>
      <c r="P1189" t="s">
        <v>33</v>
      </c>
      <c r="Q1189" s="1">
        <v>1</v>
      </c>
      <c r="R1189" t="s">
        <v>1272</v>
      </c>
      <c r="S1189" t="str">
        <f t="shared" si="5"/>
        <v>Phù hợp 1 phần</v>
      </c>
    </row>
    <row r="1190" spans="1:19" hidden="1" x14ac:dyDescent="0.3">
      <c r="A1190" t="s">
        <v>1077</v>
      </c>
      <c r="B1190" t="s">
        <v>1078</v>
      </c>
      <c r="C1190" t="s">
        <v>1079</v>
      </c>
      <c r="D1190">
        <v>20595</v>
      </c>
      <c r="E1190" t="s">
        <v>190</v>
      </c>
      <c r="F1190" t="s">
        <v>191</v>
      </c>
      <c r="G1190" t="s">
        <v>192</v>
      </c>
      <c r="H1190" t="s">
        <v>193</v>
      </c>
      <c r="I1190" t="s">
        <v>25</v>
      </c>
      <c r="J1190">
        <v>2941</v>
      </c>
      <c r="K1190" t="s">
        <v>194</v>
      </c>
      <c r="N1190">
        <v>6</v>
      </c>
      <c r="O1190">
        <v>0.44769999999999999</v>
      </c>
      <c r="P1190" t="s">
        <v>38</v>
      </c>
      <c r="Q1190" s="1">
        <v>1</v>
      </c>
      <c r="R1190" t="s">
        <v>1272</v>
      </c>
      <c r="S1190" t="str">
        <f t="shared" si="5"/>
        <v>Phù hợp 1 phần</v>
      </c>
    </row>
    <row r="1191" spans="1:19" hidden="1" x14ac:dyDescent="0.3">
      <c r="A1191" t="s">
        <v>1077</v>
      </c>
      <c r="B1191" t="s">
        <v>1078</v>
      </c>
      <c r="C1191" t="s">
        <v>1079</v>
      </c>
      <c r="D1191">
        <v>15013</v>
      </c>
      <c r="E1191" t="s">
        <v>59</v>
      </c>
      <c r="F1191" t="s">
        <v>60</v>
      </c>
      <c r="G1191" t="s">
        <v>61</v>
      </c>
      <c r="H1191" t="s">
        <v>62</v>
      </c>
      <c r="I1191" t="s">
        <v>25</v>
      </c>
      <c r="J1191">
        <v>550</v>
      </c>
      <c r="K1191" t="s">
        <v>63</v>
      </c>
      <c r="N1191">
        <v>7</v>
      </c>
      <c r="O1191">
        <v>0.4471</v>
      </c>
      <c r="P1191" t="s">
        <v>38</v>
      </c>
      <c r="Q1191" s="1">
        <v>0</v>
      </c>
      <c r="R1191" t="s">
        <v>1272</v>
      </c>
      <c r="S1191" t="str">
        <f t="shared" si="5"/>
        <v>ko hợp</v>
      </c>
    </row>
    <row r="1192" spans="1:19" hidden="1" x14ac:dyDescent="0.3">
      <c r="A1192" t="s">
        <v>1077</v>
      </c>
      <c r="B1192" t="s">
        <v>1078</v>
      </c>
      <c r="C1192" t="s">
        <v>1079</v>
      </c>
      <c r="D1192">
        <v>19676</v>
      </c>
      <c r="E1192" t="s">
        <v>544</v>
      </c>
      <c r="F1192" t="s">
        <v>545</v>
      </c>
      <c r="G1192" t="s">
        <v>41</v>
      </c>
      <c r="H1192" t="s">
        <v>546</v>
      </c>
      <c r="I1192" t="s">
        <v>25</v>
      </c>
      <c r="J1192">
        <v>907</v>
      </c>
      <c r="K1192" t="s">
        <v>547</v>
      </c>
      <c r="L1192">
        <v>7</v>
      </c>
      <c r="M1192">
        <v>13.7113</v>
      </c>
      <c r="P1192" t="s">
        <v>33</v>
      </c>
      <c r="Q1192" s="1">
        <v>0</v>
      </c>
      <c r="R1192" t="s">
        <v>1272</v>
      </c>
      <c r="S1192" t="str">
        <f t="shared" si="5"/>
        <v>ko hợp</v>
      </c>
    </row>
    <row r="1193" spans="1:19" hidden="1" x14ac:dyDescent="0.3">
      <c r="A1193" t="s">
        <v>1077</v>
      </c>
      <c r="B1193" t="s">
        <v>1078</v>
      </c>
      <c r="C1193" t="s">
        <v>1079</v>
      </c>
      <c r="D1193">
        <v>12188</v>
      </c>
      <c r="E1193" t="s">
        <v>680</v>
      </c>
      <c r="F1193" t="s">
        <v>668</v>
      </c>
      <c r="G1193" t="s">
        <v>681</v>
      </c>
      <c r="H1193" t="s">
        <v>682</v>
      </c>
      <c r="I1193" t="s">
        <v>31</v>
      </c>
      <c r="J1193">
        <v>637</v>
      </c>
      <c r="K1193" t="s">
        <v>683</v>
      </c>
      <c r="L1193">
        <v>8</v>
      </c>
      <c r="M1193">
        <v>13.613799999999999</v>
      </c>
      <c r="P1193" t="s">
        <v>33</v>
      </c>
      <c r="Q1193" s="1">
        <v>1</v>
      </c>
      <c r="R1193" t="s">
        <v>1272</v>
      </c>
      <c r="S1193" t="str">
        <f t="shared" si="5"/>
        <v>Phù hợp 1 phần</v>
      </c>
    </row>
    <row r="1194" spans="1:19" hidden="1" x14ac:dyDescent="0.3">
      <c r="A1194" t="s">
        <v>1077</v>
      </c>
      <c r="B1194" t="s">
        <v>1078</v>
      </c>
      <c r="C1194" t="s">
        <v>1079</v>
      </c>
      <c r="D1194">
        <v>13514</v>
      </c>
      <c r="E1194" t="s">
        <v>64</v>
      </c>
      <c r="F1194" t="s">
        <v>60</v>
      </c>
      <c r="G1194" t="s">
        <v>65</v>
      </c>
      <c r="H1194" t="s">
        <v>66</v>
      </c>
      <c r="I1194" t="s">
        <v>31</v>
      </c>
      <c r="J1194">
        <v>587</v>
      </c>
      <c r="K1194" t="s">
        <v>67</v>
      </c>
      <c r="N1194">
        <v>8</v>
      </c>
      <c r="O1194">
        <v>0.433</v>
      </c>
      <c r="P1194" t="s">
        <v>38</v>
      </c>
      <c r="Q1194" s="1">
        <v>0</v>
      </c>
      <c r="R1194" t="s">
        <v>1272</v>
      </c>
      <c r="S1194" t="str">
        <f t="shared" si="5"/>
        <v>ko hợp</v>
      </c>
    </row>
    <row r="1195" spans="1:19" hidden="1" x14ac:dyDescent="0.3">
      <c r="A1195" t="s">
        <v>1077</v>
      </c>
      <c r="B1195" t="s">
        <v>1078</v>
      </c>
      <c r="C1195" t="s">
        <v>1079</v>
      </c>
      <c r="D1195">
        <v>19613</v>
      </c>
      <c r="E1195" t="s">
        <v>836</v>
      </c>
      <c r="F1195" t="s">
        <v>837</v>
      </c>
      <c r="G1195" t="s">
        <v>838</v>
      </c>
      <c r="H1195" t="s">
        <v>839</v>
      </c>
      <c r="I1195" t="s">
        <v>31</v>
      </c>
      <c r="J1195">
        <v>265</v>
      </c>
      <c r="K1195" t="s">
        <v>840</v>
      </c>
      <c r="N1195">
        <v>9</v>
      </c>
      <c r="O1195">
        <v>0.43140000000000001</v>
      </c>
      <c r="P1195" t="s">
        <v>38</v>
      </c>
      <c r="Q1195" s="1">
        <v>2</v>
      </c>
      <c r="R1195" t="s">
        <v>1272</v>
      </c>
      <c r="S1195" t="str">
        <f t="shared" si="5"/>
        <v>ok</v>
      </c>
    </row>
    <row r="1196" spans="1:19" hidden="1" x14ac:dyDescent="0.3">
      <c r="A1196" t="s">
        <v>1077</v>
      </c>
      <c r="B1196" t="s">
        <v>1078</v>
      </c>
      <c r="C1196" t="s">
        <v>1079</v>
      </c>
      <c r="D1196">
        <v>20336</v>
      </c>
      <c r="E1196" t="s">
        <v>498</v>
      </c>
      <c r="F1196" t="s">
        <v>499</v>
      </c>
      <c r="G1196" t="s">
        <v>500</v>
      </c>
      <c r="H1196" t="s">
        <v>501</v>
      </c>
      <c r="I1196" t="s">
        <v>31</v>
      </c>
      <c r="J1196">
        <v>1081</v>
      </c>
      <c r="K1196" t="s">
        <v>502</v>
      </c>
      <c r="L1196">
        <v>9</v>
      </c>
      <c r="M1196">
        <v>13.0274</v>
      </c>
      <c r="P1196" t="s">
        <v>33</v>
      </c>
      <c r="Q1196" s="1">
        <v>0</v>
      </c>
      <c r="R1196" t="s">
        <v>1272</v>
      </c>
      <c r="S1196" t="str">
        <f t="shared" si="5"/>
        <v>ko hợp</v>
      </c>
    </row>
    <row r="1197" spans="1:19" hidden="1" x14ac:dyDescent="0.3">
      <c r="A1197" t="s">
        <v>1077</v>
      </c>
      <c r="B1197" t="s">
        <v>1078</v>
      </c>
      <c r="C1197" t="s">
        <v>1079</v>
      </c>
      <c r="D1197">
        <v>19110</v>
      </c>
      <c r="E1197" t="s">
        <v>961</v>
      </c>
      <c r="F1197" t="s">
        <v>22</v>
      </c>
      <c r="G1197" t="s">
        <v>962</v>
      </c>
      <c r="H1197" t="s">
        <v>963</v>
      </c>
      <c r="I1197" t="s">
        <v>31</v>
      </c>
      <c r="J1197">
        <v>250</v>
      </c>
      <c r="K1197" t="s">
        <v>964</v>
      </c>
      <c r="L1197">
        <v>10</v>
      </c>
      <c r="M1197">
        <v>12.7499</v>
      </c>
      <c r="P1197" t="s">
        <v>33</v>
      </c>
      <c r="Q1197" s="1">
        <v>2</v>
      </c>
      <c r="R1197" t="s">
        <v>1272</v>
      </c>
      <c r="S1197" t="str">
        <f t="shared" si="5"/>
        <v>ok</v>
      </c>
    </row>
    <row r="1198" spans="1:19" hidden="1" x14ac:dyDescent="0.3">
      <c r="A1198" t="s">
        <v>1101</v>
      </c>
      <c r="B1198" t="s">
        <v>1102</v>
      </c>
      <c r="C1198" t="s">
        <v>1079</v>
      </c>
      <c r="D1198">
        <v>19019</v>
      </c>
      <c r="E1198" t="s">
        <v>296</v>
      </c>
      <c r="F1198" t="s">
        <v>297</v>
      </c>
      <c r="G1198" t="s">
        <v>298</v>
      </c>
      <c r="H1198" t="s">
        <v>299</v>
      </c>
      <c r="I1198" t="s">
        <v>25</v>
      </c>
      <c r="J1198">
        <v>999</v>
      </c>
      <c r="K1198" t="s">
        <v>300</v>
      </c>
      <c r="N1198">
        <v>1</v>
      </c>
      <c r="O1198">
        <v>0.47570000000000001</v>
      </c>
      <c r="P1198" t="s">
        <v>38</v>
      </c>
      <c r="Q1198" s="1">
        <v>0</v>
      </c>
      <c r="R1198" t="s">
        <v>1272</v>
      </c>
      <c r="S1198" t="str">
        <f t="shared" si="5"/>
        <v>ko hợp</v>
      </c>
    </row>
    <row r="1199" spans="1:19" hidden="1" x14ac:dyDescent="0.3">
      <c r="A1199" t="s">
        <v>1101</v>
      </c>
      <c r="B1199" t="s">
        <v>1102</v>
      </c>
      <c r="C1199" t="s">
        <v>1079</v>
      </c>
      <c r="D1199">
        <v>20772</v>
      </c>
      <c r="E1199" t="s">
        <v>292</v>
      </c>
      <c r="F1199" t="s">
        <v>293</v>
      </c>
      <c r="G1199" t="s">
        <v>41</v>
      </c>
      <c r="H1199" t="s">
        <v>294</v>
      </c>
      <c r="I1199" t="s">
        <v>25</v>
      </c>
      <c r="J1199">
        <v>787</v>
      </c>
      <c r="K1199" t="s">
        <v>295</v>
      </c>
      <c r="L1199">
        <v>1</v>
      </c>
      <c r="M1199">
        <v>17.715900000000001</v>
      </c>
      <c r="P1199" t="s">
        <v>33</v>
      </c>
      <c r="Q1199" s="1">
        <v>0</v>
      </c>
      <c r="R1199" t="s">
        <v>1272</v>
      </c>
      <c r="S1199" t="str">
        <f t="shared" si="5"/>
        <v>ko hợp</v>
      </c>
    </row>
    <row r="1200" spans="1:19" hidden="1" x14ac:dyDescent="0.3">
      <c r="A1200" t="s">
        <v>1101</v>
      </c>
      <c r="B1200" t="s">
        <v>1102</v>
      </c>
      <c r="C1200" t="s">
        <v>1079</v>
      </c>
      <c r="D1200">
        <v>16100</v>
      </c>
      <c r="E1200" t="s">
        <v>732</v>
      </c>
      <c r="F1200" t="s">
        <v>155</v>
      </c>
      <c r="G1200" t="s">
        <v>472</v>
      </c>
      <c r="H1200" t="s">
        <v>733</v>
      </c>
      <c r="I1200" t="s">
        <v>31</v>
      </c>
      <c r="J1200">
        <v>1444</v>
      </c>
      <c r="K1200" t="s">
        <v>734</v>
      </c>
      <c r="N1200">
        <v>2</v>
      </c>
      <c r="O1200">
        <v>0.4556</v>
      </c>
      <c r="P1200" t="s">
        <v>38</v>
      </c>
      <c r="Q1200" s="1">
        <v>1</v>
      </c>
      <c r="R1200" t="s">
        <v>1272</v>
      </c>
      <c r="S1200" t="str">
        <f t="shared" si="5"/>
        <v>Phù hợp 1 phần</v>
      </c>
    </row>
    <row r="1201" spans="1:19" hidden="1" x14ac:dyDescent="0.3">
      <c r="A1201" t="s">
        <v>1101</v>
      </c>
      <c r="B1201" t="s">
        <v>1102</v>
      </c>
      <c r="C1201" t="s">
        <v>1079</v>
      </c>
      <c r="D1201">
        <v>19710</v>
      </c>
      <c r="E1201" t="s">
        <v>199</v>
      </c>
      <c r="F1201" t="s">
        <v>200</v>
      </c>
      <c r="G1201" t="s">
        <v>201</v>
      </c>
      <c r="H1201" t="s">
        <v>202</v>
      </c>
      <c r="I1201" t="s">
        <v>31</v>
      </c>
      <c r="J1201">
        <v>262</v>
      </c>
      <c r="K1201" t="s">
        <v>203</v>
      </c>
      <c r="L1201">
        <v>2</v>
      </c>
      <c r="M1201">
        <v>16.8293</v>
      </c>
      <c r="P1201" t="s">
        <v>33</v>
      </c>
      <c r="Q1201" s="1">
        <v>0</v>
      </c>
      <c r="R1201" t="s">
        <v>1272</v>
      </c>
      <c r="S1201" t="str">
        <f t="shared" si="5"/>
        <v>ko hợp</v>
      </c>
    </row>
    <row r="1202" spans="1:19" hidden="1" x14ac:dyDescent="0.3">
      <c r="A1202" t="s">
        <v>1101</v>
      </c>
      <c r="B1202" t="s">
        <v>1102</v>
      </c>
      <c r="C1202" t="s">
        <v>1079</v>
      </c>
      <c r="D1202">
        <v>10623</v>
      </c>
      <c r="E1202" t="s">
        <v>817</v>
      </c>
      <c r="F1202" t="s">
        <v>74</v>
      </c>
      <c r="G1202" t="s">
        <v>818</v>
      </c>
      <c r="H1202" t="s">
        <v>819</v>
      </c>
      <c r="I1202" t="s">
        <v>25</v>
      </c>
      <c r="J1202">
        <v>578</v>
      </c>
      <c r="K1202" t="s">
        <v>820</v>
      </c>
      <c r="N1202">
        <v>3</v>
      </c>
      <c r="O1202">
        <v>0.45479999999999998</v>
      </c>
      <c r="P1202" t="s">
        <v>38</v>
      </c>
      <c r="Q1202" s="1">
        <v>1</v>
      </c>
      <c r="R1202" t="s">
        <v>1272</v>
      </c>
      <c r="S1202" t="str">
        <f t="shared" si="5"/>
        <v>Phù hợp 1 phần</v>
      </c>
    </row>
    <row r="1203" spans="1:19" hidden="1" x14ac:dyDescent="0.3">
      <c r="A1203" t="s">
        <v>1101</v>
      </c>
      <c r="B1203" t="s">
        <v>1102</v>
      </c>
      <c r="C1203" t="s">
        <v>1079</v>
      </c>
      <c r="D1203">
        <v>20764</v>
      </c>
      <c r="E1203" t="s">
        <v>278</v>
      </c>
      <c r="F1203" t="s">
        <v>60</v>
      </c>
      <c r="G1203" t="s">
        <v>279</v>
      </c>
      <c r="H1203" t="s">
        <v>280</v>
      </c>
      <c r="I1203" t="s">
        <v>25</v>
      </c>
      <c r="J1203">
        <v>483</v>
      </c>
      <c r="K1203" t="s">
        <v>281</v>
      </c>
      <c r="L1203">
        <v>3</v>
      </c>
      <c r="M1203">
        <v>14.0427</v>
      </c>
      <c r="P1203" t="s">
        <v>33</v>
      </c>
      <c r="Q1203" s="1">
        <v>1</v>
      </c>
      <c r="R1203" t="s">
        <v>1272</v>
      </c>
      <c r="S1203" t="str">
        <f t="shared" si="5"/>
        <v>Phù hợp 1 phần</v>
      </c>
    </row>
    <row r="1204" spans="1:19" hidden="1" x14ac:dyDescent="0.3">
      <c r="A1204" t="s">
        <v>1101</v>
      </c>
      <c r="B1204" t="s">
        <v>1102</v>
      </c>
      <c r="C1204" t="s">
        <v>1079</v>
      </c>
      <c r="D1204">
        <v>11016</v>
      </c>
      <c r="E1204" t="s">
        <v>1103</v>
      </c>
      <c r="F1204" t="s">
        <v>74</v>
      </c>
      <c r="G1204" t="s">
        <v>1090</v>
      </c>
      <c r="H1204" t="s">
        <v>1104</v>
      </c>
      <c r="I1204" t="s">
        <v>25</v>
      </c>
      <c r="J1204">
        <v>348</v>
      </c>
      <c r="K1204" t="s">
        <v>1105</v>
      </c>
      <c r="N1204">
        <v>4</v>
      </c>
      <c r="O1204">
        <v>0.45400000000000001</v>
      </c>
      <c r="P1204" t="s">
        <v>38</v>
      </c>
      <c r="Q1204" s="1">
        <v>1</v>
      </c>
      <c r="R1204" t="s">
        <v>1272</v>
      </c>
      <c r="S1204" t="str">
        <f t="shared" si="5"/>
        <v>Phù hợp 1 phần</v>
      </c>
    </row>
    <row r="1205" spans="1:19" hidden="1" x14ac:dyDescent="0.3">
      <c r="A1205" t="s">
        <v>1101</v>
      </c>
      <c r="B1205" t="s">
        <v>1102</v>
      </c>
      <c r="C1205" t="s">
        <v>1079</v>
      </c>
      <c r="D1205">
        <v>20632</v>
      </c>
      <c r="E1205" t="s">
        <v>204</v>
      </c>
      <c r="F1205" t="s">
        <v>205</v>
      </c>
      <c r="G1205" t="s">
        <v>206</v>
      </c>
      <c r="H1205" t="s">
        <v>207</v>
      </c>
      <c r="I1205" t="s">
        <v>31</v>
      </c>
      <c r="J1205">
        <v>411</v>
      </c>
      <c r="K1205" t="s">
        <v>208</v>
      </c>
      <c r="L1205">
        <v>4</v>
      </c>
      <c r="M1205">
        <v>12.957700000000001</v>
      </c>
      <c r="P1205" t="s">
        <v>33</v>
      </c>
      <c r="Q1205" s="1">
        <v>1</v>
      </c>
      <c r="R1205" t="s">
        <v>1272</v>
      </c>
      <c r="S1205" t="str">
        <f t="shared" si="5"/>
        <v>Phù hợp 1 phần</v>
      </c>
    </row>
    <row r="1206" spans="1:19" hidden="1" x14ac:dyDescent="0.3">
      <c r="A1206" t="s">
        <v>1101</v>
      </c>
      <c r="B1206" t="s">
        <v>1102</v>
      </c>
      <c r="C1206" t="s">
        <v>1079</v>
      </c>
      <c r="D1206">
        <v>2385</v>
      </c>
      <c r="E1206" t="s">
        <v>284</v>
      </c>
      <c r="F1206" t="s">
        <v>60</v>
      </c>
      <c r="G1206" t="s">
        <v>41</v>
      </c>
      <c r="H1206" t="s">
        <v>285</v>
      </c>
      <c r="I1206" t="s">
        <v>25</v>
      </c>
      <c r="J1206">
        <v>1160</v>
      </c>
      <c r="K1206" t="s">
        <v>286</v>
      </c>
      <c r="L1206">
        <v>5</v>
      </c>
      <c r="M1206">
        <v>11.620699999999999</v>
      </c>
      <c r="N1206">
        <v>5</v>
      </c>
      <c r="O1206">
        <v>0.45119999999999999</v>
      </c>
      <c r="P1206" t="s">
        <v>27</v>
      </c>
      <c r="Q1206" s="1">
        <v>0</v>
      </c>
      <c r="R1206" t="s">
        <v>1272</v>
      </c>
      <c r="S1206" t="str">
        <f t="shared" si="5"/>
        <v>ko hợp</v>
      </c>
    </row>
    <row r="1207" spans="1:19" hidden="1" x14ac:dyDescent="0.3">
      <c r="A1207" t="s">
        <v>1101</v>
      </c>
      <c r="B1207" t="s">
        <v>1102</v>
      </c>
      <c r="C1207" t="s">
        <v>1079</v>
      </c>
      <c r="D1207">
        <v>13514</v>
      </c>
      <c r="E1207" t="s">
        <v>64</v>
      </c>
      <c r="F1207" t="s">
        <v>60</v>
      </c>
      <c r="G1207" t="s">
        <v>65</v>
      </c>
      <c r="H1207" t="s">
        <v>66</v>
      </c>
      <c r="I1207" t="s">
        <v>31</v>
      </c>
      <c r="J1207">
        <v>587</v>
      </c>
      <c r="K1207" t="s">
        <v>67</v>
      </c>
      <c r="L1207">
        <v>9</v>
      </c>
      <c r="M1207">
        <v>9.8025000000000002</v>
      </c>
      <c r="N1207">
        <v>6</v>
      </c>
      <c r="O1207">
        <v>0.44869999999999999</v>
      </c>
      <c r="P1207" t="s">
        <v>27</v>
      </c>
      <c r="Q1207" s="1">
        <v>0</v>
      </c>
      <c r="R1207" t="s">
        <v>1272</v>
      </c>
      <c r="S1207" t="str">
        <f t="shared" si="5"/>
        <v>ko hợp</v>
      </c>
    </row>
    <row r="1208" spans="1:19" hidden="1" x14ac:dyDescent="0.3">
      <c r="A1208" t="s">
        <v>1101</v>
      </c>
      <c r="B1208" t="s">
        <v>1102</v>
      </c>
      <c r="C1208" t="s">
        <v>1079</v>
      </c>
      <c r="D1208">
        <v>15839</v>
      </c>
      <c r="E1208" t="s">
        <v>154</v>
      </c>
      <c r="F1208" t="s">
        <v>155</v>
      </c>
      <c r="G1208" t="s">
        <v>156</v>
      </c>
      <c r="H1208" t="s">
        <v>157</v>
      </c>
      <c r="I1208" t="s">
        <v>25</v>
      </c>
      <c r="J1208">
        <v>298</v>
      </c>
      <c r="K1208" t="s">
        <v>158</v>
      </c>
      <c r="L1208">
        <v>6</v>
      </c>
      <c r="M1208">
        <v>10.812099999999999</v>
      </c>
      <c r="P1208" t="s">
        <v>33</v>
      </c>
      <c r="Q1208" s="1">
        <v>0</v>
      </c>
      <c r="R1208" t="s">
        <v>1272</v>
      </c>
      <c r="S1208" t="str">
        <f t="shared" si="5"/>
        <v>ko hợp</v>
      </c>
    </row>
    <row r="1209" spans="1:19" hidden="1" x14ac:dyDescent="0.3">
      <c r="A1209" t="s">
        <v>1101</v>
      </c>
      <c r="B1209" t="s">
        <v>1102</v>
      </c>
      <c r="C1209" t="s">
        <v>1079</v>
      </c>
      <c r="D1209">
        <v>13532</v>
      </c>
      <c r="E1209" t="s">
        <v>967</v>
      </c>
      <c r="F1209" t="s">
        <v>288</v>
      </c>
      <c r="G1209" t="s">
        <v>968</v>
      </c>
      <c r="H1209" t="s">
        <v>969</v>
      </c>
      <c r="I1209" t="s">
        <v>31</v>
      </c>
      <c r="J1209">
        <v>622</v>
      </c>
      <c r="K1209" t="s">
        <v>970</v>
      </c>
      <c r="L1209">
        <v>7</v>
      </c>
      <c r="M1209">
        <v>10.355399999999999</v>
      </c>
      <c r="P1209" t="s">
        <v>33</v>
      </c>
      <c r="Q1209" s="1">
        <v>1</v>
      </c>
      <c r="R1209" t="s">
        <v>1272</v>
      </c>
      <c r="S1209" t="str">
        <f t="shared" si="5"/>
        <v>Phù hợp 1 phần</v>
      </c>
    </row>
    <row r="1210" spans="1:19" hidden="1" x14ac:dyDescent="0.3">
      <c r="A1210" t="s">
        <v>1101</v>
      </c>
      <c r="B1210" t="s">
        <v>1102</v>
      </c>
      <c r="C1210" t="s">
        <v>1079</v>
      </c>
      <c r="D1210">
        <v>19613</v>
      </c>
      <c r="E1210" t="s">
        <v>836</v>
      </c>
      <c r="F1210" t="s">
        <v>837</v>
      </c>
      <c r="G1210" t="s">
        <v>838</v>
      </c>
      <c r="H1210" t="s">
        <v>839</v>
      </c>
      <c r="I1210" t="s">
        <v>31</v>
      </c>
      <c r="J1210">
        <v>265</v>
      </c>
      <c r="K1210" t="s">
        <v>840</v>
      </c>
      <c r="N1210">
        <v>7</v>
      </c>
      <c r="O1210">
        <v>0.44590000000000002</v>
      </c>
      <c r="P1210" t="s">
        <v>38</v>
      </c>
      <c r="Q1210" s="1">
        <v>1</v>
      </c>
      <c r="R1210" t="s">
        <v>1272</v>
      </c>
      <c r="S1210" t="str">
        <f t="shared" si="5"/>
        <v>Phù hợp 1 phần</v>
      </c>
    </row>
    <row r="1211" spans="1:19" hidden="1" x14ac:dyDescent="0.3">
      <c r="A1211" t="s">
        <v>1101</v>
      </c>
      <c r="B1211" t="s">
        <v>1102</v>
      </c>
      <c r="C1211" t="s">
        <v>1079</v>
      </c>
      <c r="D1211">
        <v>541</v>
      </c>
      <c r="E1211" t="s">
        <v>170</v>
      </c>
      <c r="F1211" t="s">
        <v>155</v>
      </c>
      <c r="G1211" t="s">
        <v>171</v>
      </c>
      <c r="H1211" t="s">
        <v>172</v>
      </c>
      <c r="I1211" t="s">
        <v>25</v>
      </c>
      <c r="J1211">
        <v>738</v>
      </c>
      <c r="K1211" t="s">
        <v>173</v>
      </c>
      <c r="L1211">
        <v>8</v>
      </c>
      <c r="M1211">
        <v>10.064399999999999</v>
      </c>
      <c r="P1211" t="s">
        <v>33</v>
      </c>
      <c r="Q1211" s="1">
        <v>0</v>
      </c>
      <c r="R1211" t="s">
        <v>1272</v>
      </c>
      <c r="S1211" t="str">
        <f t="shared" si="5"/>
        <v>ko hợp</v>
      </c>
    </row>
    <row r="1212" spans="1:19" hidden="1" x14ac:dyDescent="0.3">
      <c r="A1212" t="s">
        <v>1101</v>
      </c>
      <c r="B1212" t="s">
        <v>1102</v>
      </c>
      <c r="C1212" t="s">
        <v>1079</v>
      </c>
      <c r="D1212">
        <v>6637</v>
      </c>
      <c r="E1212" t="s">
        <v>735</v>
      </c>
      <c r="F1212" t="s">
        <v>60</v>
      </c>
      <c r="G1212" t="s">
        <v>736</v>
      </c>
      <c r="H1212" t="s">
        <v>737</v>
      </c>
      <c r="I1212" t="s">
        <v>25</v>
      </c>
      <c r="J1212">
        <v>1382</v>
      </c>
      <c r="K1212" t="s">
        <v>738</v>
      </c>
      <c r="N1212">
        <v>8</v>
      </c>
      <c r="O1212">
        <v>0.44230000000000003</v>
      </c>
      <c r="P1212" t="s">
        <v>38</v>
      </c>
      <c r="Q1212" s="1">
        <v>0</v>
      </c>
      <c r="R1212" t="s">
        <v>1272</v>
      </c>
      <c r="S1212" t="str">
        <f t="shared" si="5"/>
        <v>ko hợp</v>
      </c>
    </row>
    <row r="1213" spans="1:19" hidden="1" x14ac:dyDescent="0.3">
      <c r="A1213" t="s">
        <v>1101</v>
      </c>
      <c r="B1213" t="s">
        <v>1102</v>
      </c>
      <c r="C1213" t="s">
        <v>1079</v>
      </c>
      <c r="D1213">
        <v>1063</v>
      </c>
      <c r="E1213" t="s">
        <v>866</v>
      </c>
      <c r="F1213" t="s">
        <v>155</v>
      </c>
      <c r="G1213" t="s">
        <v>867</v>
      </c>
      <c r="H1213" t="s">
        <v>868</v>
      </c>
      <c r="I1213" t="s">
        <v>25</v>
      </c>
      <c r="J1213">
        <v>224</v>
      </c>
      <c r="K1213" t="s">
        <v>869</v>
      </c>
      <c r="N1213">
        <v>9</v>
      </c>
      <c r="O1213">
        <v>0.438</v>
      </c>
      <c r="P1213" t="s">
        <v>38</v>
      </c>
      <c r="Q1213" s="1">
        <v>1</v>
      </c>
      <c r="R1213" t="s">
        <v>1272</v>
      </c>
      <c r="S1213" t="str">
        <f t="shared" si="5"/>
        <v>Phù hợp 1 phần</v>
      </c>
    </row>
    <row r="1214" spans="1:19" hidden="1" x14ac:dyDescent="0.3">
      <c r="A1214" t="s">
        <v>1101</v>
      </c>
      <c r="B1214" t="s">
        <v>1102</v>
      </c>
      <c r="C1214" t="s">
        <v>1079</v>
      </c>
      <c r="D1214">
        <v>4828</v>
      </c>
      <c r="E1214" t="s">
        <v>54</v>
      </c>
      <c r="F1214" t="s">
        <v>55</v>
      </c>
      <c r="G1214" t="s">
        <v>56</v>
      </c>
      <c r="H1214" t="s">
        <v>57</v>
      </c>
      <c r="I1214" t="s">
        <v>25</v>
      </c>
      <c r="J1214">
        <v>546</v>
      </c>
      <c r="K1214" t="s">
        <v>58</v>
      </c>
      <c r="L1214">
        <v>10</v>
      </c>
      <c r="M1214">
        <v>9.6708999999999996</v>
      </c>
      <c r="P1214" t="s">
        <v>33</v>
      </c>
      <c r="Q1214" s="1">
        <v>0</v>
      </c>
      <c r="R1214" t="s">
        <v>1272</v>
      </c>
      <c r="S1214" t="str">
        <f t="shared" si="5"/>
        <v>ko hợp</v>
      </c>
    </row>
    <row r="1215" spans="1:19" hidden="1" x14ac:dyDescent="0.3">
      <c r="A1215" t="s">
        <v>1101</v>
      </c>
      <c r="B1215" t="s">
        <v>1102</v>
      </c>
      <c r="C1215" t="s">
        <v>1079</v>
      </c>
      <c r="D1215">
        <v>15013</v>
      </c>
      <c r="E1215" t="s">
        <v>59</v>
      </c>
      <c r="F1215" t="s">
        <v>60</v>
      </c>
      <c r="G1215" t="s">
        <v>61</v>
      </c>
      <c r="H1215" t="s">
        <v>62</v>
      </c>
      <c r="I1215" t="s">
        <v>25</v>
      </c>
      <c r="J1215">
        <v>550</v>
      </c>
      <c r="K1215" t="s">
        <v>63</v>
      </c>
      <c r="N1215">
        <v>10</v>
      </c>
      <c r="O1215">
        <v>0.43759999999999999</v>
      </c>
      <c r="P1215" t="s">
        <v>38</v>
      </c>
      <c r="Q1215" s="1">
        <v>0</v>
      </c>
      <c r="R1215" t="s">
        <v>1272</v>
      </c>
      <c r="S1215" t="str">
        <f t="shared" si="5"/>
        <v>ko hợp</v>
      </c>
    </row>
    <row r="1216" spans="1:19" hidden="1" x14ac:dyDescent="0.3">
      <c r="A1216" t="s">
        <v>1106</v>
      </c>
      <c r="B1216" t="s">
        <v>1107</v>
      </c>
      <c r="C1216" t="s">
        <v>1079</v>
      </c>
      <c r="D1216">
        <v>17916</v>
      </c>
      <c r="E1216" t="s">
        <v>921</v>
      </c>
      <c r="F1216" t="s">
        <v>60</v>
      </c>
      <c r="G1216" t="s">
        <v>922</v>
      </c>
      <c r="H1216" t="s">
        <v>923</v>
      </c>
      <c r="I1216" t="s">
        <v>31</v>
      </c>
      <c r="J1216">
        <v>1081</v>
      </c>
      <c r="K1216" t="s">
        <v>924</v>
      </c>
      <c r="L1216">
        <v>1</v>
      </c>
      <c r="M1216">
        <v>11.757999999999999</v>
      </c>
      <c r="P1216" t="s">
        <v>33</v>
      </c>
      <c r="Q1216" s="1">
        <v>2</v>
      </c>
      <c r="R1216" t="s">
        <v>1272</v>
      </c>
      <c r="S1216" t="str">
        <f t="shared" si="5"/>
        <v>ok</v>
      </c>
    </row>
    <row r="1217" spans="1:19" hidden="1" x14ac:dyDescent="0.3">
      <c r="A1217" t="s">
        <v>1106</v>
      </c>
      <c r="B1217" t="s">
        <v>1107</v>
      </c>
      <c r="C1217" t="s">
        <v>1079</v>
      </c>
      <c r="D1217">
        <v>18885</v>
      </c>
      <c r="E1217" t="s">
        <v>86</v>
      </c>
      <c r="F1217" t="s">
        <v>60</v>
      </c>
      <c r="G1217" t="s">
        <v>87</v>
      </c>
      <c r="H1217" t="s">
        <v>88</v>
      </c>
      <c r="I1217" t="s">
        <v>31</v>
      </c>
      <c r="J1217">
        <v>596</v>
      </c>
      <c r="K1217" t="s">
        <v>89</v>
      </c>
      <c r="N1217">
        <v>1</v>
      </c>
      <c r="O1217">
        <v>0.50660000000000005</v>
      </c>
      <c r="P1217" t="s">
        <v>38</v>
      </c>
      <c r="Q1217" s="1">
        <v>1</v>
      </c>
      <c r="R1217" t="s">
        <v>1272</v>
      </c>
      <c r="S1217" t="str">
        <f t="shared" si="5"/>
        <v>Phù hợp 1 phần</v>
      </c>
    </row>
    <row r="1218" spans="1:19" hidden="1" x14ac:dyDescent="0.3">
      <c r="A1218" t="s">
        <v>1106</v>
      </c>
      <c r="B1218" t="s">
        <v>1107</v>
      </c>
      <c r="C1218" t="s">
        <v>1079</v>
      </c>
      <c r="D1218">
        <v>10538</v>
      </c>
      <c r="E1218" t="s">
        <v>565</v>
      </c>
      <c r="F1218" t="s">
        <v>22</v>
      </c>
      <c r="G1218" t="s">
        <v>566</v>
      </c>
      <c r="H1218" t="s">
        <v>567</v>
      </c>
      <c r="I1218" t="s">
        <v>25</v>
      </c>
      <c r="J1218">
        <v>1456</v>
      </c>
      <c r="K1218" t="s">
        <v>568</v>
      </c>
      <c r="N1218">
        <v>2</v>
      </c>
      <c r="O1218">
        <v>0.50160000000000005</v>
      </c>
      <c r="P1218" t="s">
        <v>38</v>
      </c>
      <c r="Q1218" s="1">
        <v>2</v>
      </c>
      <c r="R1218" t="s">
        <v>1272</v>
      </c>
      <c r="S1218" t="str">
        <f t="shared" si="5"/>
        <v>ok</v>
      </c>
    </row>
    <row r="1219" spans="1:19" hidden="1" x14ac:dyDescent="0.3">
      <c r="A1219" t="s">
        <v>1106</v>
      </c>
      <c r="B1219" t="s">
        <v>1107</v>
      </c>
      <c r="C1219" t="s">
        <v>1079</v>
      </c>
      <c r="D1219">
        <v>19735</v>
      </c>
      <c r="E1219" t="s">
        <v>827</v>
      </c>
      <c r="F1219" t="s">
        <v>828</v>
      </c>
      <c r="G1219" t="s">
        <v>829</v>
      </c>
      <c r="H1219" t="s">
        <v>830</v>
      </c>
      <c r="I1219" t="s">
        <v>25</v>
      </c>
      <c r="J1219">
        <v>559</v>
      </c>
      <c r="K1219" t="s">
        <v>831</v>
      </c>
      <c r="L1219">
        <v>2</v>
      </c>
      <c r="M1219">
        <v>10.7211</v>
      </c>
      <c r="P1219" t="s">
        <v>33</v>
      </c>
      <c r="Q1219" s="1">
        <v>2</v>
      </c>
      <c r="R1219" t="s">
        <v>1272</v>
      </c>
      <c r="S1219" t="str">
        <f t="shared" si="5"/>
        <v>ok</v>
      </c>
    </row>
    <row r="1220" spans="1:19" hidden="1" x14ac:dyDescent="0.3">
      <c r="A1220" t="s">
        <v>1106</v>
      </c>
      <c r="B1220" t="s">
        <v>1107</v>
      </c>
      <c r="C1220" t="s">
        <v>1079</v>
      </c>
      <c r="D1220">
        <v>11464</v>
      </c>
      <c r="E1220" t="s">
        <v>463</v>
      </c>
      <c r="F1220" t="s">
        <v>60</v>
      </c>
      <c r="G1220" t="s">
        <v>464</v>
      </c>
      <c r="H1220" t="s">
        <v>465</v>
      </c>
      <c r="I1220" t="s">
        <v>31</v>
      </c>
      <c r="J1220">
        <v>695</v>
      </c>
      <c r="K1220" t="s">
        <v>466</v>
      </c>
      <c r="N1220">
        <v>3</v>
      </c>
      <c r="O1220">
        <v>0.499</v>
      </c>
      <c r="P1220" t="s">
        <v>38</v>
      </c>
      <c r="Q1220" s="1">
        <v>2</v>
      </c>
      <c r="R1220" t="s">
        <v>1272</v>
      </c>
      <c r="S1220" t="str">
        <f t="shared" si="5"/>
        <v>ok</v>
      </c>
    </row>
    <row r="1221" spans="1:19" hidden="1" x14ac:dyDescent="0.3">
      <c r="A1221" t="s">
        <v>1106</v>
      </c>
      <c r="B1221" t="s">
        <v>1107</v>
      </c>
      <c r="C1221" t="s">
        <v>1079</v>
      </c>
      <c r="D1221">
        <v>20773</v>
      </c>
      <c r="E1221" t="s">
        <v>109</v>
      </c>
      <c r="F1221" t="s">
        <v>60</v>
      </c>
      <c r="G1221" t="s">
        <v>41</v>
      </c>
      <c r="H1221" t="s">
        <v>110</v>
      </c>
      <c r="I1221" t="s">
        <v>25</v>
      </c>
      <c r="J1221">
        <v>1156</v>
      </c>
      <c r="K1221" t="s">
        <v>111</v>
      </c>
      <c r="L1221">
        <v>3</v>
      </c>
      <c r="M1221">
        <v>10.4763</v>
      </c>
      <c r="P1221" t="s">
        <v>33</v>
      </c>
      <c r="Q1221" s="1">
        <v>2</v>
      </c>
      <c r="R1221" t="s">
        <v>1272</v>
      </c>
      <c r="S1221" t="str">
        <f t="shared" si="5"/>
        <v>ok</v>
      </c>
    </row>
    <row r="1222" spans="1:19" hidden="1" x14ac:dyDescent="0.3">
      <c r="A1222" t="s">
        <v>1106</v>
      </c>
      <c r="B1222" t="s">
        <v>1107</v>
      </c>
      <c r="C1222" t="s">
        <v>1079</v>
      </c>
      <c r="D1222">
        <v>17519</v>
      </c>
      <c r="E1222" t="s">
        <v>34</v>
      </c>
      <c r="F1222" t="s">
        <v>22</v>
      </c>
      <c r="G1222" t="s">
        <v>35</v>
      </c>
      <c r="H1222" t="s">
        <v>36</v>
      </c>
      <c r="I1222" t="s">
        <v>25</v>
      </c>
      <c r="J1222">
        <v>2690</v>
      </c>
      <c r="K1222" t="s">
        <v>37</v>
      </c>
      <c r="N1222">
        <v>4</v>
      </c>
      <c r="O1222">
        <v>0.498</v>
      </c>
      <c r="P1222" t="s">
        <v>38</v>
      </c>
      <c r="Q1222" s="1">
        <v>2</v>
      </c>
      <c r="R1222" t="s">
        <v>1272</v>
      </c>
      <c r="S1222" t="str">
        <f t="shared" si="5"/>
        <v>ok</v>
      </c>
    </row>
    <row r="1223" spans="1:19" hidden="1" x14ac:dyDescent="0.3">
      <c r="A1223" t="s">
        <v>1106</v>
      </c>
      <c r="B1223" t="s">
        <v>1107</v>
      </c>
      <c r="C1223" t="s">
        <v>1079</v>
      </c>
      <c r="D1223">
        <v>19710</v>
      </c>
      <c r="E1223" t="s">
        <v>199</v>
      </c>
      <c r="F1223" t="s">
        <v>200</v>
      </c>
      <c r="G1223" t="s">
        <v>201</v>
      </c>
      <c r="H1223" t="s">
        <v>202</v>
      </c>
      <c r="I1223" t="s">
        <v>31</v>
      </c>
      <c r="J1223">
        <v>262</v>
      </c>
      <c r="K1223" t="s">
        <v>203</v>
      </c>
      <c r="L1223">
        <v>4</v>
      </c>
      <c r="M1223">
        <v>10.428599999999999</v>
      </c>
      <c r="P1223" t="s">
        <v>33</v>
      </c>
      <c r="Q1223" s="1">
        <v>0</v>
      </c>
      <c r="R1223" t="s">
        <v>1272</v>
      </c>
      <c r="S1223" t="str">
        <f t="shared" si="5"/>
        <v>ko hợp</v>
      </c>
    </row>
    <row r="1224" spans="1:19" hidden="1" x14ac:dyDescent="0.3">
      <c r="A1224" t="s">
        <v>1106</v>
      </c>
      <c r="B1224" t="s">
        <v>1107</v>
      </c>
      <c r="C1224" t="s">
        <v>1079</v>
      </c>
      <c r="D1224">
        <v>13530</v>
      </c>
      <c r="E1224" t="s">
        <v>1108</v>
      </c>
      <c r="F1224" t="s">
        <v>288</v>
      </c>
      <c r="G1224" t="s">
        <v>359</v>
      </c>
      <c r="H1224" t="s">
        <v>1109</v>
      </c>
      <c r="I1224" t="s">
        <v>31</v>
      </c>
      <c r="J1224">
        <v>892</v>
      </c>
      <c r="K1224" t="s">
        <v>1110</v>
      </c>
      <c r="L1224">
        <v>5</v>
      </c>
      <c r="M1224">
        <v>9.6112000000000002</v>
      </c>
      <c r="P1224" t="s">
        <v>33</v>
      </c>
      <c r="Q1224" s="1">
        <v>0</v>
      </c>
      <c r="R1224" t="s">
        <v>1272</v>
      </c>
      <c r="S1224" t="str">
        <f t="shared" si="5"/>
        <v>ko hợp</v>
      </c>
    </row>
    <row r="1225" spans="1:19" hidden="1" x14ac:dyDescent="0.3">
      <c r="A1225" t="s">
        <v>1106</v>
      </c>
      <c r="B1225" t="s">
        <v>1107</v>
      </c>
      <c r="C1225" t="s">
        <v>1079</v>
      </c>
      <c r="D1225">
        <v>14222</v>
      </c>
      <c r="E1225" t="s">
        <v>749</v>
      </c>
      <c r="F1225" t="s">
        <v>60</v>
      </c>
      <c r="G1225" t="s">
        <v>696</v>
      </c>
      <c r="H1225" t="s">
        <v>750</v>
      </c>
      <c r="I1225" t="s">
        <v>25</v>
      </c>
      <c r="J1225">
        <v>835</v>
      </c>
      <c r="K1225" t="s">
        <v>751</v>
      </c>
      <c r="N1225">
        <v>5</v>
      </c>
      <c r="O1225">
        <v>0.49659999999999999</v>
      </c>
      <c r="P1225" t="s">
        <v>38</v>
      </c>
      <c r="Q1225" s="1">
        <v>1</v>
      </c>
      <c r="R1225" t="s">
        <v>1272</v>
      </c>
      <c r="S1225" t="str">
        <f t="shared" si="5"/>
        <v>Phù hợp 1 phần</v>
      </c>
    </row>
    <row r="1226" spans="1:19" hidden="1" x14ac:dyDescent="0.3">
      <c r="A1226" t="s">
        <v>1106</v>
      </c>
      <c r="B1226" t="s">
        <v>1107</v>
      </c>
      <c r="C1226" t="s">
        <v>1079</v>
      </c>
      <c r="D1226">
        <v>15093</v>
      </c>
      <c r="E1226" t="s">
        <v>452</v>
      </c>
      <c r="F1226" t="s">
        <v>60</v>
      </c>
      <c r="G1226" t="s">
        <v>453</v>
      </c>
      <c r="H1226" t="s">
        <v>454</v>
      </c>
      <c r="I1226" t="s">
        <v>31</v>
      </c>
      <c r="J1226">
        <v>892</v>
      </c>
      <c r="K1226" t="s">
        <v>455</v>
      </c>
      <c r="N1226">
        <v>6</v>
      </c>
      <c r="O1226">
        <v>0.49270000000000003</v>
      </c>
      <c r="P1226" t="s">
        <v>38</v>
      </c>
      <c r="Q1226" s="1">
        <v>1</v>
      </c>
      <c r="R1226" t="s">
        <v>1272</v>
      </c>
      <c r="S1226" t="str">
        <f t="shared" si="5"/>
        <v>Phù hợp 1 phần</v>
      </c>
    </row>
    <row r="1227" spans="1:19" hidden="1" x14ac:dyDescent="0.3">
      <c r="A1227" t="s">
        <v>1106</v>
      </c>
      <c r="B1227" t="s">
        <v>1107</v>
      </c>
      <c r="C1227" t="s">
        <v>1079</v>
      </c>
      <c r="D1227">
        <v>20392</v>
      </c>
      <c r="E1227" t="s">
        <v>661</v>
      </c>
      <c r="F1227" t="s">
        <v>662</v>
      </c>
      <c r="G1227" t="s">
        <v>41</v>
      </c>
      <c r="H1227" t="s">
        <v>663</v>
      </c>
      <c r="I1227" t="s">
        <v>25</v>
      </c>
      <c r="J1227">
        <v>980</v>
      </c>
      <c r="K1227" t="s">
        <v>664</v>
      </c>
      <c r="L1227">
        <v>6</v>
      </c>
      <c r="M1227">
        <v>9.5375999999999994</v>
      </c>
      <c r="P1227" t="s">
        <v>33</v>
      </c>
      <c r="Q1227" s="1">
        <v>1</v>
      </c>
      <c r="R1227" t="s">
        <v>1272</v>
      </c>
      <c r="S1227" t="str">
        <f t="shared" si="5"/>
        <v>Phù hợp 1 phần</v>
      </c>
    </row>
    <row r="1228" spans="1:19" hidden="1" x14ac:dyDescent="0.3">
      <c r="A1228" t="s">
        <v>1106</v>
      </c>
      <c r="B1228" t="s">
        <v>1107</v>
      </c>
      <c r="C1228" t="s">
        <v>1079</v>
      </c>
      <c r="D1228">
        <v>13674</v>
      </c>
      <c r="E1228" t="s">
        <v>78</v>
      </c>
      <c r="F1228" t="s">
        <v>22</v>
      </c>
      <c r="G1228" t="s">
        <v>79</v>
      </c>
      <c r="H1228" t="s">
        <v>80</v>
      </c>
      <c r="I1228" t="s">
        <v>31</v>
      </c>
      <c r="J1228">
        <v>1127</v>
      </c>
      <c r="K1228" t="s">
        <v>81</v>
      </c>
      <c r="N1228">
        <v>7</v>
      </c>
      <c r="O1228">
        <v>0.49230000000000002</v>
      </c>
      <c r="P1228" t="s">
        <v>38</v>
      </c>
      <c r="Q1228" s="1">
        <v>1</v>
      </c>
      <c r="R1228" t="s">
        <v>1272</v>
      </c>
      <c r="S1228" t="str">
        <f t="shared" si="5"/>
        <v>Phù hợp 1 phần</v>
      </c>
    </row>
    <row r="1229" spans="1:19" hidden="1" x14ac:dyDescent="0.3">
      <c r="A1229" t="s">
        <v>1106</v>
      </c>
      <c r="B1229" t="s">
        <v>1107</v>
      </c>
      <c r="C1229" t="s">
        <v>1079</v>
      </c>
      <c r="D1229">
        <v>16838</v>
      </c>
      <c r="E1229" t="s">
        <v>129</v>
      </c>
      <c r="F1229" t="s">
        <v>60</v>
      </c>
      <c r="G1229" t="s">
        <v>130</v>
      </c>
      <c r="H1229" t="s">
        <v>131</v>
      </c>
      <c r="I1229" t="s">
        <v>31</v>
      </c>
      <c r="J1229">
        <v>3435</v>
      </c>
      <c r="K1229" t="s">
        <v>132</v>
      </c>
      <c r="L1229">
        <v>7</v>
      </c>
      <c r="M1229">
        <v>9.0311000000000003</v>
      </c>
      <c r="P1229" t="s">
        <v>33</v>
      </c>
      <c r="Q1229" s="1">
        <v>2</v>
      </c>
      <c r="R1229" t="s">
        <v>1272</v>
      </c>
      <c r="S1229" t="str">
        <f t="shared" ref="S1229:S1292" si="6">IF(Q1229=2,"ok",IF(Q1229=1,"Phù hợp 1 phần", "ko hợp"))</f>
        <v>ok</v>
      </c>
    </row>
    <row r="1230" spans="1:19" hidden="1" x14ac:dyDescent="0.3">
      <c r="A1230" t="s">
        <v>1106</v>
      </c>
      <c r="B1230" t="s">
        <v>1107</v>
      </c>
      <c r="C1230" t="s">
        <v>1079</v>
      </c>
      <c r="D1230">
        <v>15905</v>
      </c>
      <c r="E1230" t="s">
        <v>262</v>
      </c>
      <c r="F1230" t="s">
        <v>60</v>
      </c>
      <c r="G1230" t="s">
        <v>263</v>
      </c>
      <c r="H1230" t="s">
        <v>264</v>
      </c>
      <c r="I1230" t="s">
        <v>31</v>
      </c>
      <c r="J1230">
        <v>772</v>
      </c>
      <c r="K1230" t="s">
        <v>265</v>
      </c>
      <c r="L1230">
        <v>8</v>
      </c>
      <c r="M1230">
        <v>8.9872999999999994</v>
      </c>
      <c r="P1230" t="s">
        <v>33</v>
      </c>
      <c r="Q1230" s="1">
        <v>2</v>
      </c>
      <c r="R1230" t="s">
        <v>1272</v>
      </c>
      <c r="S1230" t="str">
        <f t="shared" si="6"/>
        <v>ok</v>
      </c>
    </row>
    <row r="1231" spans="1:19" hidden="1" x14ac:dyDescent="0.3">
      <c r="A1231" t="s">
        <v>1106</v>
      </c>
      <c r="B1231" t="s">
        <v>1107</v>
      </c>
      <c r="C1231" t="s">
        <v>1079</v>
      </c>
      <c r="D1231">
        <v>19992</v>
      </c>
      <c r="E1231" t="s">
        <v>408</v>
      </c>
      <c r="F1231" t="s">
        <v>22</v>
      </c>
      <c r="G1231" t="s">
        <v>409</v>
      </c>
      <c r="H1231" t="s">
        <v>410</v>
      </c>
      <c r="I1231" t="s">
        <v>31</v>
      </c>
      <c r="J1231">
        <v>553</v>
      </c>
      <c r="K1231" t="s">
        <v>411</v>
      </c>
      <c r="L1231">
        <v>10</v>
      </c>
      <c r="M1231">
        <v>8.4069000000000003</v>
      </c>
      <c r="N1231">
        <v>8</v>
      </c>
      <c r="O1231">
        <v>0.48859999999999998</v>
      </c>
      <c r="P1231" t="s">
        <v>27</v>
      </c>
      <c r="Q1231" s="1">
        <v>2</v>
      </c>
      <c r="R1231" t="s">
        <v>1272</v>
      </c>
      <c r="S1231" t="str">
        <f t="shared" si="6"/>
        <v>ok</v>
      </c>
    </row>
    <row r="1232" spans="1:19" hidden="1" x14ac:dyDescent="0.3">
      <c r="A1232" t="s">
        <v>1106</v>
      </c>
      <c r="B1232" t="s">
        <v>1107</v>
      </c>
      <c r="C1232" t="s">
        <v>1079</v>
      </c>
      <c r="D1232">
        <v>12531</v>
      </c>
      <c r="E1232" t="s">
        <v>853</v>
      </c>
      <c r="F1232" t="s">
        <v>55</v>
      </c>
      <c r="G1232" t="s">
        <v>130</v>
      </c>
      <c r="H1232" t="s">
        <v>854</v>
      </c>
      <c r="I1232" t="s">
        <v>31</v>
      </c>
      <c r="J1232">
        <v>4074</v>
      </c>
      <c r="K1232" t="s">
        <v>855</v>
      </c>
      <c r="N1232">
        <v>9</v>
      </c>
      <c r="O1232">
        <v>0.48620000000000002</v>
      </c>
      <c r="P1232" t="s">
        <v>38</v>
      </c>
      <c r="Q1232" s="1">
        <v>0</v>
      </c>
      <c r="R1232" t="s">
        <v>1272</v>
      </c>
      <c r="S1232" t="str">
        <f t="shared" si="6"/>
        <v>ko hợp</v>
      </c>
    </row>
    <row r="1233" spans="1:19" hidden="1" x14ac:dyDescent="0.3">
      <c r="A1233" t="s">
        <v>1106</v>
      </c>
      <c r="B1233" t="s">
        <v>1107</v>
      </c>
      <c r="C1233" t="s">
        <v>1079</v>
      </c>
      <c r="D1233">
        <v>12737</v>
      </c>
      <c r="E1233" t="s">
        <v>588</v>
      </c>
      <c r="F1233" t="s">
        <v>22</v>
      </c>
      <c r="G1233" t="s">
        <v>589</v>
      </c>
      <c r="H1233" t="s">
        <v>590</v>
      </c>
      <c r="I1233" t="s">
        <v>31</v>
      </c>
      <c r="J1233">
        <v>1553</v>
      </c>
      <c r="K1233" t="s">
        <v>591</v>
      </c>
      <c r="L1233">
        <v>9</v>
      </c>
      <c r="M1233">
        <v>8.4091000000000005</v>
      </c>
      <c r="P1233" t="s">
        <v>33</v>
      </c>
      <c r="Q1233" s="1">
        <v>2</v>
      </c>
      <c r="R1233" t="s">
        <v>1272</v>
      </c>
      <c r="S1233" t="str">
        <f t="shared" si="6"/>
        <v>ok</v>
      </c>
    </row>
    <row r="1234" spans="1:19" hidden="1" x14ac:dyDescent="0.3">
      <c r="A1234" t="s">
        <v>1106</v>
      </c>
      <c r="B1234" t="s">
        <v>1107</v>
      </c>
      <c r="C1234" t="s">
        <v>1079</v>
      </c>
      <c r="D1234">
        <v>19395</v>
      </c>
      <c r="E1234" t="s">
        <v>609</v>
      </c>
      <c r="F1234" t="s">
        <v>22</v>
      </c>
      <c r="G1234" t="s">
        <v>610</v>
      </c>
      <c r="H1234" t="s">
        <v>611</v>
      </c>
      <c r="I1234" t="s">
        <v>31</v>
      </c>
      <c r="J1234">
        <v>560</v>
      </c>
      <c r="K1234" t="s">
        <v>612</v>
      </c>
      <c r="N1234">
        <v>10</v>
      </c>
      <c r="O1234">
        <v>0.48530000000000001</v>
      </c>
      <c r="P1234" t="s">
        <v>38</v>
      </c>
      <c r="Q1234" s="1">
        <v>2</v>
      </c>
      <c r="R1234" t="s">
        <v>1272</v>
      </c>
      <c r="S1234" t="str">
        <f t="shared" si="6"/>
        <v>ok</v>
      </c>
    </row>
    <row r="1235" spans="1:19" hidden="1" x14ac:dyDescent="0.3">
      <c r="A1235" t="s">
        <v>1111</v>
      </c>
      <c r="B1235" t="s">
        <v>1112</v>
      </c>
      <c r="C1235" t="s">
        <v>1079</v>
      </c>
      <c r="D1235">
        <v>127</v>
      </c>
      <c r="E1235" t="s">
        <v>902</v>
      </c>
      <c r="F1235" t="s">
        <v>22</v>
      </c>
      <c r="G1235" t="s">
        <v>903</v>
      </c>
      <c r="H1235" t="s">
        <v>904</v>
      </c>
      <c r="I1235" t="s">
        <v>25</v>
      </c>
      <c r="J1235">
        <v>1919</v>
      </c>
      <c r="K1235" t="s">
        <v>905</v>
      </c>
      <c r="L1235">
        <v>1</v>
      </c>
      <c r="M1235">
        <v>22.906500000000001</v>
      </c>
      <c r="P1235" t="s">
        <v>33</v>
      </c>
      <c r="Q1235" s="1">
        <v>1</v>
      </c>
      <c r="R1235" t="s">
        <v>1272</v>
      </c>
      <c r="S1235" t="str">
        <f t="shared" si="6"/>
        <v>Phù hợp 1 phần</v>
      </c>
    </row>
    <row r="1236" spans="1:19" hidden="1" x14ac:dyDescent="0.3">
      <c r="A1236" t="s">
        <v>1111</v>
      </c>
      <c r="B1236" t="s">
        <v>1112</v>
      </c>
      <c r="C1236" t="s">
        <v>1079</v>
      </c>
      <c r="D1236">
        <v>17533</v>
      </c>
      <c r="E1236" t="s">
        <v>746</v>
      </c>
      <c r="F1236" t="s">
        <v>60</v>
      </c>
      <c r="G1236" t="s">
        <v>719</v>
      </c>
      <c r="H1236" t="s">
        <v>747</v>
      </c>
      <c r="I1236" t="s">
        <v>25</v>
      </c>
      <c r="J1236">
        <v>907</v>
      </c>
      <c r="K1236" t="s">
        <v>748</v>
      </c>
      <c r="N1236">
        <v>1</v>
      </c>
      <c r="O1236">
        <v>0.44700000000000001</v>
      </c>
      <c r="P1236" t="s">
        <v>38</v>
      </c>
      <c r="Q1236" s="1">
        <v>1</v>
      </c>
      <c r="R1236" t="s">
        <v>1272</v>
      </c>
      <c r="S1236" t="str">
        <f t="shared" si="6"/>
        <v>Phù hợp 1 phần</v>
      </c>
    </row>
    <row r="1237" spans="1:19" hidden="1" x14ac:dyDescent="0.3">
      <c r="A1237" t="s">
        <v>1111</v>
      </c>
      <c r="B1237" t="s">
        <v>1112</v>
      </c>
      <c r="C1237" t="s">
        <v>1079</v>
      </c>
      <c r="D1237">
        <v>9820</v>
      </c>
      <c r="E1237" t="s">
        <v>150</v>
      </c>
      <c r="F1237" t="s">
        <v>60</v>
      </c>
      <c r="G1237" t="s">
        <v>151</v>
      </c>
      <c r="H1237" t="s">
        <v>152</v>
      </c>
      <c r="I1237" t="s">
        <v>25</v>
      </c>
      <c r="J1237">
        <v>2512</v>
      </c>
      <c r="K1237" t="s">
        <v>153</v>
      </c>
      <c r="L1237">
        <v>2</v>
      </c>
      <c r="M1237">
        <v>15.1913</v>
      </c>
      <c r="N1237">
        <v>7</v>
      </c>
      <c r="O1237">
        <v>0.42580000000000001</v>
      </c>
      <c r="P1237" t="s">
        <v>27</v>
      </c>
      <c r="Q1237" s="1">
        <v>0</v>
      </c>
      <c r="R1237" t="s">
        <v>1272</v>
      </c>
      <c r="S1237" t="str">
        <f t="shared" si="6"/>
        <v>ko hợp</v>
      </c>
    </row>
    <row r="1238" spans="1:19" hidden="1" x14ac:dyDescent="0.3">
      <c r="A1238" t="s">
        <v>1111</v>
      </c>
      <c r="B1238" t="s">
        <v>1112</v>
      </c>
      <c r="C1238" t="s">
        <v>1079</v>
      </c>
      <c r="D1238">
        <v>19980</v>
      </c>
      <c r="E1238" t="s">
        <v>1113</v>
      </c>
      <c r="F1238" t="s">
        <v>22</v>
      </c>
      <c r="G1238" t="s">
        <v>1114</v>
      </c>
      <c r="H1238" t="s">
        <v>1115</v>
      </c>
      <c r="I1238" t="s">
        <v>31</v>
      </c>
      <c r="J1238">
        <v>605</v>
      </c>
      <c r="K1238" t="s">
        <v>1116</v>
      </c>
      <c r="N1238">
        <v>2</v>
      </c>
      <c r="O1238">
        <v>0.44490000000000002</v>
      </c>
      <c r="P1238" t="s">
        <v>38</v>
      </c>
      <c r="Q1238" s="1">
        <v>2</v>
      </c>
      <c r="R1238" t="s">
        <v>1272</v>
      </c>
      <c r="S1238" t="str">
        <f t="shared" si="6"/>
        <v>ok</v>
      </c>
    </row>
    <row r="1239" spans="1:19" hidden="1" x14ac:dyDescent="0.3">
      <c r="A1239" t="s">
        <v>1111</v>
      </c>
      <c r="B1239" t="s">
        <v>1112</v>
      </c>
      <c r="C1239" t="s">
        <v>1079</v>
      </c>
      <c r="D1239">
        <v>15905</v>
      </c>
      <c r="E1239" t="s">
        <v>262</v>
      </c>
      <c r="F1239" t="s">
        <v>60</v>
      </c>
      <c r="G1239" t="s">
        <v>263</v>
      </c>
      <c r="H1239" t="s">
        <v>264</v>
      </c>
      <c r="I1239" t="s">
        <v>31</v>
      </c>
      <c r="J1239">
        <v>772</v>
      </c>
      <c r="K1239" t="s">
        <v>265</v>
      </c>
      <c r="L1239">
        <v>3</v>
      </c>
      <c r="M1239">
        <v>14.9255</v>
      </c>
      <c r="P1239" t="s">
        <v>33</v>
      </c>
      <c r="Q1239" s="1">
        <v>0</v>
      </c>
      <c r="R1239" t="s">
        <v>1272</v>
      </c>
      <c r="S1239" t="str">
        <f t="shared" si="6"/>
        <v>ko hợp</v>
      </c>
    </row>
    <row r="1240" spans="1:19" hidden="1" x14ac:dyDescent="0.3">
      <c r="A1240" t="s">
        <v>1111</v>
      </c>
      <c r="B1240" t="s">
        <v>1112</v>
      </c>
      <c r="C1240" t="s">
        <v>1079</v>
      </c>
      <c r="D1240">
        <v>17058</v>
      </c>
      <c r="E1240" t="s">
        <v>925</v>
      </c>
      <c r="F1240" t="s">
        <v>60</v>
      </c>
      <c r="G1240" t="s">
        <v>926</v>
      </c>
      <c r="H1240" t="s">
        <v>927</v>
      </c>
      <c r="I1240" t="s">
        <v>31</v>
      </c>
      <c r="J1240">
        <v>5613</v>
      </c>
      <c r="K1240" t="s">
        <v>928</v>
      </c>
      <c r="N1240">
        <v>3</v>
      </c>
      <c r="O1240">
        <v>0.44440000000000002</v>
      </c>
      <c r="P1240" t="s">
        <v>38</v>
      </c>
      <c r="Q1240" s="1">
        <v>1</v>
      </c>
      <c r="R1240" t="s">
        <v>1272</v>
      </c>
      <c r="S1240" t="str">
        <f t="shared" si="6"/>
        <v>Phù hợp 1 phần</v>
      </c>
    </row>
    <row r="1241" spans="1:19" hidden="1" x14ac:dyDescent="0.3">
      <c r="A1241" t="s">
        <v>1111</v>
      </c>
      <c r="B1241" t="s">
        <v>1112</v>
      </c>
      <c r="C1241" t="s">
        <v>1079</v>
      </c>
      <c r="D1241">
        <v>18457</v>
      </c>
      <c r="E1241" t="s">
        <v>986</v>
      </c>
      <c r="F1241" t="s">
        <v>987</v>
      </c>
      <c r="G1241" t="s">
        <v>988</v>
      </c>
      <c r="H1241" t="s">
        <v>989</v>
      </c>
      <c r="I1241" t="s">
        <v>31</v>
      </c>
      <c r="J1241">
        <v>3005</v>
      </c>
      <c r="K1241" t="s">
        <v>990</v>
      </c>
      <c r="L1241">
        <v>6</v>
      </c>
      <c r="M1241">
        <v>13.115600000000001</v>
      </c>
      <c r="N1241">
        <v>4</v>
      </c>
      <c r="O1241">
        <v>0.43919999999999998</v>
      </c>
      <c r="P1241" t="s">
        <v>27</v>
      </c>
      <c r="Q1241" s="1">
        <v>2</v>
      </c>
      <c r="R1241" t="s">
        <v>1272</v>
      </c>
      <c r="S1241" t="str">
        <f t="shared" si="6"/>
        <v>ok</v>
      </c>
    </row>
    <row r="1242" spans="1:19" hidden="1" x14ac:dyDescent="0.3">
      <c r="A1242" t="s">
        <v>1111</v>
      </c>
      <c r="B1242" t="s">
        <v>1112</v>
      </c>
      <c r="C1242" t="s">
        <v>1079</v>
      </c>
      <c r="D1242">
        <v>20772</v>
      </c>
      <c r="E1242" t="s">
        <v>292</v>
      </c>
      <c r="F1242" t="s">
        <v>293</v>
      </c>
      <c r="G1242" t="s">
        <v>41</v>
      </c>
      <c r="H1242" t="s">
        <v>294</v>
      </c>
      <c r="I1242" t="s">
        <v>25</v>
      </c>
      <c r="J1242">
        <v>787</v>
      </c>
      <c r="K1242" t="s">
        <v>295</v>
      </c>
      <c r="L1242">
        <v>4</v>
      </c>
      <c r="M1242">
        <v>14.2262</v>
      </c>
      <c r="P1242" t="s">
        <v>33</v>
      </c>
      <c r="Q1242" s="1">
        <v>0</v>
      </c>
      <c r="R1242" t="s">
        <v>1272</v>
      </c>
      <c r="S1242" t="str">
        <f t="shared" si="6"/>
        <v>ko hợp</v>
      </c>
    </row>
    <row r="1243" spans="1:19" hidden="1" x14ac:dyDescent="0.3">
      <c r="A1243" t="s">
        <v>1111</v>
      </c>
      <c r="B1243" t="s">
        <v>1112</v>
      </c>
      <c r="C1243" t="s">
        <v>1079</v>
      </c>
      <c r="D1243">
        <v>14684</v>
      </c>
      <c r="E1243" t="s">
        <v>847</v>
      </c>
      <c r="F1243" t="s">
        <v>60</v>
      </c>
      <c r="G1243" t="s">
        <v>61</v>
      </c>
      <c r="H1243" t="s">
        <v>848</v>
      </c>
      <c r="I1243" t="s">
        <v>25</v>
      </c>
      <c r="J1243">
        <v>1309</v>
      </c>
      <c r="K1243" t="s">
        <v>849</v>
      </c>
      <c r="N1243">
        <v>5</v>
      </c>
      <c r="O1243">
        <v>0.4375</v>
      </c>
      <c r="P1243" t="s">
        <v>38</v>
      </c>
      <c r="Q1243" s="1">
        <v>2</v>
      </c>
      <c r="R1243" t="s">
        <v>1272</v>
      </c>
      <c r="S1243" t="str">
        <f t="shared" si="6"/>
        <v>ok</v>
      </c>
    </row>
    <row r="1244" spans="1:19" hidden="1" x14ac:dyDescent="0.3">
      <c r="A1244" t="s">
        <v>1111</v>
      </c>
      <c r="B1244" t="s">
        <v>1112</v>
      </c>
      <c r="C1244" t="s">
        <v>1079</v>
      </c>
      <c r="D1244">
        <v>20663</v>
      </c>
      <c r="E1244" t="s">
        <v>536</v>
      </c>
      <c r="F1244" t="s">
        <v>60</v>
      </c>
      <c r="G1244" t="s">
        <v>537</v>
      </c>
      <c r="H1244" t="s">
        <v>538</v>
      </c>
      <c r="I1244" t="s">
        <v>25</v>
      </c>
      <c r="J1244">
        <v>941</v>
      </c>
      <c r="K1244" t="s">
        <v>539</v>
      </c>
      <c r="L1244">
        <v>5</v>
      </c>
      <c r="M1244">
        <v>13.180199999999999</v>
      </c>
      <c r="P1244" t="s">
        <v>33</v>
      </c>
      <c r="Q1244" s="1">
        <v>2</v>
      </c>
      <c r="R1244" t="s">
        <v>1272</v>
      </c>
      <c r="S1244" t="str">
        <f t="shared" si="6"/>
        <v>ok</v>
      </c>
    </row>
    <row r="1245" spans="1:19" hidden="1" x14ac:dyDescent="0.3">
      <c r="A1245" t="s">
        <v>1111</v>
      </c>
      <c r="B1245" t="s">
        <v>1112</v>
      </c>
      <c r="C1245" t="s">
        <v>1079</v>
      </c>
      <c r="D1245">
        <v>15013</v>
      </c>
      <c r="E1245" t="s">
        <v>59</v>
      </c>
      <c r="F1245" t="s">
        <v>60</v>
      </c>
      <c r="G1245" t="s">
        <v>61</v>
      </c>
      <c r="H1245" t="s">
        <v>62</v>
      </c>
      <c r="I1245" t="s">
        <v>25</v>
      </c>
      <c r="J1245">
        <v>550</v>
      </c>
      <c r="K1245" t="s">
        <v>63</v>
      </c>
      <c r="N1245">
        <v>6</v>
      </c>
      <c r="O1245">
        <v>0.43609999999999999</v>
      </c>
      <c r="P1245" t="s">
        <v>38</v>
      </c>
      <c r="Q1245" s="1">
        <v>2</v>
      </c>
      <c r="R1245" t="s">
        <v>1272</v>
      </c>
      <c r="S1245" t="str">
        <f t="shared" si="6"/>
        <v>ok</v>
      </c>
    </row>
    <row r="1246" spans="1:19" hidden="1" x14ac:dyDescent="0.3">
      <c r="A1246" t="s">
        <v>1111</v>
      </c>
      <c r="B1246" t="s">
        <v>1112</v>
      </c>
      <c r="C1246" t="s">
        <v>1079</v>
      </c>
      <c r="D1246">
        <v>17306</v>
      </c>
      <c r="E1246" t="s">
        <v>1117</v>
      </c>
      <c r="F1246" t="s">
        <v>60</v>
      </c>
      <c r="G1246" t="s">
        <v>1118</v>
      </c>
      <c r="H1246" t="s">
        <v>1119</v>
      </c>
      <c r="I1246" t="s">
        <v>31</v>
      </c>
      <c r="J1246">
        <v>419</v>
      </c>
      <c r="K1246" t="s">
        <v>1120</v>
      </c>
      <c r="L1246">
        <v>7</v>
      </c>
      <c r="M1246">
        <v>12.3934</v>
      </c>
      <c r="P1246" t="s">
        <v>33</v>
      </c>
      <c r="Q1246" s="1">
        <v>1</v>
      </c>
      <c r="R1246" t="s">
        <v>1272</v>
      </c>
      <c r="S1246" t="str">
        <f t="shared" si="6"/>
        <v>Phù hợp 1 phần</v>
      </c>
    </row>
    <row r="1247" spans="1:19" hidden="1" x14ac:dyDescent="0.3">
      <c r="A1247" t="s">
        <v>1111</v>
      </c>
      <c r="B1247" t="s">
        <v>1112</v>
      </c>
      <c r="C1247" t="s">
        <v>1079</v>
      </c>
      <c r="D1247">
        <v>109</v>
      </c>
      <c r="E1247" t="s">
        <v>523</v>
      </c>
      <c r="F1247" t="s">
        <v>524</v>
      </c>
      <c r="G1247" t="s">
        <v>525</v>
      </c>
      <c r="H1247" t="s">
        <v>526</v>
      </c>
      <c r="I1247" t="s">
        <v>25</v>
      </c>
      <c r="J1247">
        <v>411</v>
      </c>
      <c r="K1247" t="s">
        <v>527</v>
      </c>
      <c r="L1247">
        <v>8</v>
      </c>
      <c r="M1247">
        <v>11.5063</v>
      </c>
      <c r="P1247" t="s">
        <v>33</v>
      </c>
      <c r="Q1247" s="1">
        <v>0</v>
      </c>
      <c r="R1247" t="s">
        <v>1272</v>
      </c>
      <c r="S1247" t="str">
        <f t="shared" si="6"/>
        <v>ko hợp</v>
      </c>
    </row>
    <row r="1248" spans="1:19" hidden="1" x14ac:dyDescent="0.3">
      <c r="A1248" t="s">
        <v>1111</v>
      </c>
      <c r="B1248" t="s">
        <v>1112</v>
      </c>
      <c r="C1248" t="s">
        <v>1079</v>
      </c>
      <c r="D1248">
        <v>2385</v>
      </c>
      <c r="E1248" t="s">
        <v>284</v>
      </c>
      <c r="F1248" t="s">
        <v>60</v>
      </c>
      <c r="G1248" t="s">
        <v>41</v>
      </c>
      <c r="H1248" t="s">
        <v>285</v>
      </c>
      <c r="I1248" t="s">
        <v>25</v>
      </c>
      <c r="J1248">
        <v>1160</v>
      </c>
      <c r="K1248" t="s">
        <v>286</v>
      </c>
      <c r="N1248">
        <v>8</v>
      </c>
      <c r="O1248">
        <v>0.41880000000000001</v>
      </c>
      <c r="P1248" t="s">
        <v>38</v>
      </c>
      <c r="Q1248" s="1">
        <v>0</v>
      </c>
      <c r="R1248" t="s">
        <v>1272</v>
      </c>
      <c r="S1248" t="str">
        <f t="shared" si="6"/>
        <v>ko hợp</v>
      </c>
    </row>
    <row r="1249" spans="1:19" hidden="1" x14ac:dyDescent="0.3">
      <c r="A1249" t="s">
        <v>1111</v>
      </c>
      <c r="B1249" t="s">
        <v>1112</v>
      </c>
      <c r="C1249" t="s">
        <v>1079</v>
      </c>
      <c r="D1249">
        <v>19729</v>
      </c>
      <c r="E1249" t="s">
        <v>975</v>
      </c>
      <c r="F1249" t="s">
        <v>828</v>
      </c>
      <c r="G1249" t="s">
        <v>829</v>
      </c>
      <c r="H1249" t="s">
        <v>976</v>
      </c>
      <c r="I1249" t="s">
        <v>25</v>
      </c>
      <c r="J1249">
        <v>1407</v>
      </c>
      <c r="K1249" t="s">
        <v>977</v>
      </c>
      <c r="N1249">
        <v>9</v>
      </c>
      <c r="O1249">
        <v>0.41880000000000001</v>
      </c>
      <c r="P1249" t="s">
        <v>38</v>
      </c>
      <c r="Q1249" s="1">
        <v>1</v>
      </c>
      <c r="R1249" t="s">
        <v>1272</v>
      </c>
      <c r="S1249" t="str">
        <f t="shared" si="6"/>
        <v>Phù hợp 1 phần</v>
      </c>
    </row>
    <row r="1250" spans="1:19" hidden="1" x14ac:dyDescent="0.3">
      <c r="A1250" t="s">
        <v>1111</v>
      </c>
      <c r="B1250" t="s">
        <v>1112</v>
      </c>
      <c r="C1250" t="s">
        <v>1079</v>
      </c>
      <c r="D1250">
        <v>20043</v>
      </c>
      <c r="E1250" t="s">
        <v>412</v>
      </c>
      <c r="F1250" t="s">
        <v>413</v>
      </c>
      <c r="G1250" t="s">
        <v>414</v>
      </c>
      <c r="H1250" t="s">
        <v>415</v>
      </c>
      <c r="I1250" t="s">
        <v>25</v>
      </c>
      <c r="J1250">
        <v>558</v>
      </c>
      <c r="K1250" t="s">
        <v>416</v>
      </c>
      <c r="L1250">
        <v>9</v>
      </c>
      <c r="M1250">
        <v>10.762700000000001</v>
      </c>
      <c r="P1250" t="s">
        <v>33</v>
      </c>
      <c r="Q1250" s="1">
        <v>1</v>
      </c>
      <c r="R1250" t="s">
        <v>1272</v>
      </c>
      <c r="S1250" t="str">
        <f t="shared" si="6"/>
        <v>Phù hợp 1 phần</v>
      </c>
    </row>
    <row r="1251" spans="1:19" hidden="1" x14ac:dyDescent="0.3">
      <c r="A1251" t="s">
        <v>1111</v>
      </c>
      <c r="B1251" t="s">
        <v>1112</v>
      </c>
      <c r="C1251" t="s">
        <v>1079</v>
      </c>
      <c r="D1251">
        <v>14103</v>
      </c>
      <c r="E1251" t="s">
        <v>509</v>
      </c>
      <c r="F1251" t="s">
        <v>74</v>
      </c>
      <c r="G1251" t="s">
        <v>510</v>
      </c>
      <c r="H1251" t="s">
        <v>511</v>
      </c>
      <c r="I1251" t="s">
        <v>31</v>
      </c>
      <c r="J1251">
        <v>290</v>
      </c>
      <c r="K1251" t="s">
        <v>512</v>
      </c>
      <c r="N1251">
        <v>10</v>
      </c>
      <c r="O1251">
        <v>0.41520000000000001</v>
      </c>
      <c r="P1251" t="s">
        <v>38</v>
      </c>
      <c r="Q1251" s="1">
        <v>0</v>
      </c>
      <c r="R1251" t="s">
        <v>1272</v>
      </c>
      <c r="S1251" t="str">
        <f t="shared" si="6"/>
        <v>ko hợp</v>
      </c>
    </row>
    <row r="1252" spans="1:19" hidden="1" x14ac:dyDescent="0.3">
      <c r="A1252" t="s">
        <v>1111</v>
      </c>
      <c r="B1252" t="s">
        <v>1112</v>
      </c>
      <c r="C1252" t="s">
        <v>1079</v>
      </c>
      <c r="D1252">
        <v>18937</v>
      </c>
      <c r="E1252" t="s">
        <v>68</v>
      </c>
      <c r="F1252" t="s">
        <v>69</v>
      </c>
      <c r="G1252" t="s">
        <v>70</v>
      </c>
      <c r="H1252" t="s">
        <v>71</v>
      </c>
      <c r="I1252" t="s">
        <v>31</v>
      </c>
      <c r="J1252">
        <v>3317</v>
      </c>
      <c r="K1252" t="s">
        <v>72</v>
      </c>
      <c r="L1252">
        <v>10</v>
      </c>
      <c r="M1252">
        <v>10.633900000000001</v>
      </c>
      <c r="P1252" t="s">
        <v>33</v>
      </c>
      <c r="Q1252" s="1">
        <v>0</v>
      </c>
      <c r="R1252" t="s">
        <v>1272</v>
      </c>
      <c r="S1252" t="str">
        <f t="shared" si="6"/>
        <v>ko hợp</v>
      </c>
    </row>
    <row r="1253" spans="1:19" hidden="1" x14ac:dyDescent="0.3">
      <c r="A1253" t="s">
        <v>1121</v>
      </c>
      <c r="B1253" t="s">
        <v>1122</v>
      </c>
      <c r="C1253" t="s">
        <v>1079</v>
      </c>
      <c r="D1253">
        <v>13535</v>
      </c>
      <c r="E1253" t="s">
        <v>771</v>
      </c>
      <c r="F1253" t="s">
        <v>60</v>
      </c>
      <c r="G1253" t="s">
        <v>772</v>
      </c>
      <c r="H1253" t="s">
        <v>773</v>
      </c>
      <c r="I1253" t="s">
        <v>31</v>
      </c>
      <c r="J1253">
        <v>234</v>
      </c>
      <c r="K1253" t="s">
        <v>774</v>
      </c>
      <c r="N1253">
        <v>1</v>
      </c>
      <c r="O1253">
        <v>0.40970000000000001</v>
      </c>
      <c r="P1253" t="s">
        <v>38</v>
      </c>
      <c r="Q1253" s="1">
        <v>1</v>
      </c>
      <c r="R1253" t="s">
        <v>1272</v>
      </c>
      <c r="S1253" t="str">
        <f t="shared" si="6"/>
        <v>Phù hợp 1 phần</v>
      </c>
    </row>
    <row r="1254" spans="1:19" hidden="1" x14ac:dyDescent="0.3">
      <c r="A1254" t="s">
        <v>1121</v>
      </c>
      <c r="B1254" t="s">
        <v>1122</v>
      </c>
      <c r="C1254" t="s">
        <v>1079</v>
      </c>
      <c r="D1254">
        <v>16928</v>
      </c>
      <c r="E1254" t="s">
        <v>631</v>
      </c>
      <c r="F1254" t="s">
        <v>155</v>
      </c>
      <c r="G1254" t="s">
        <v>632</v>
      </c>
      <c r="H1254" t="s">
        <v>633</v>
      </c>
      <c r="I1254" t="s">
        <v>31</v>
      </c>
      <c r="J1254">
        <v>1048</v>
      </c>
      <c r="K1254" t="s">
        <v>634</v>
      </c>
      <c r="L1254">
        <v>1</v>
      </c>
      <c r="M1254">
        <v>12.302099999999999</v>
      </c>
      <c r="P1254" t="s">
        <v>33</v>
      </c>
      <c r="Q1254" s="1">
        <v>0</v>
      </c>
      <c r="R1254" t="s">
        <v>1272</v>
      </c>
      <c r="S1254" t="str">
        <f t="shared" si="6"/>
        <v>ko hợp</v>
      </c>
    </row>
    <row r="1255" spans="1:19" hidden="1" x14ac:dyDescent="0.3">
      <c r="A1255" t="s">
        <v>1121</v>
      </c>
      <c r="B1255" t="s">
        <v>1122</v>
      </c>
      <c r="C1255" t="s">
        <v>1079</v>
      </c>
      <c r="D1255">
        <v>13970</v>
      </c>
      <c r="E1255" t="s">
        <v>287</v>
      </c>
      <c r="F1255" t="s">
        <v>288</v>
      </c>
      <c r="G1255" t="s">
        <v>289</v>
      </c>
      <c r="H1255" t="s">
        <v>290</v>
      </c>
      <c r="I1255" t="s">
        <v>31</v>
      </c>
      <c r="J1255">
        <v>670</v>
      </c>
      <c r="K1255" t="s">
        <v>291</v>
      </c>
      <c r="N1255">
        <v>2</v>
      </c>
      <c r="O1255">
        <v>0.40960000000000002</v>
      </c>
      <c r="P1255" t="s">
        <v>38</v>
      </c>
      <c r="Q1255" s="1">
        <v>1</v>
      </c>
      <c r="R1255" t="s">
        <v>1272</v>
      </c>
      <c r="S1255" t="str">
        <f t="shared" si="6"/>
        <v>Phù hợp 1 phần</v>
      </c>
    </row>
    <row r="1256" spans="1:19" hidden="1" x14ac:dyDescent="0.3">
      <c r="A1256" t="s">
        <v>1121</v>
      </c>
      <c r="B1256" t="s">
        <v>1122</v>
      </c>
      <c r="C1256" t="s">
        <v>1079</v>
      </c>
      <c r="D1256">
        <v>15905</v>
      </c>
      <c r="E1256" t="s">
        <v>262</v>
      </c>
      <c r="F1256" t="s">
        <v>60</v>
      </c>
      <c r="G1256" t="s">
        <v>263</v>
      </c>
      <c r="H1256" t="s">
        <v>264</v>
      </c>
      <c r="I1256" t="s">
        <v>31</v>
      </c>
      <c r="J1256">
        <v>772</v>
      </c>
      <c r="K1256" t="s">
        <v>265</v>
      </c>
      <c r="L1256">
        <v>2</v>
      </c>
      <c r="M1256">
        <v>12.1944</v>
      </c>
      <c r="P1256" t="s">
        <v>33</v>
      </c>
      <c r="Q1256" s="1">
        <v>0</v>
      </c>
      <c r="R1256" t="s">
        <v>1272</v>
      </c>
      <c r="S1256" t="str">
        <f t="shared" si="6"/>
        <v>ko hợp</v>
      </c>
    </row>
    <row r="1257" spans="1:19" hidden="1" x14ac:dyDescent="0.3">
      <c r="A1257" t="s">
        <v>1121</v>
      </c>
      <c r="B1257" t="s">
        <v>1122</v>
      </c>
      <c r="C1257" t="s">
        <v>1079</v>
      </c>
      <c r="D1257">
        <v>541</v>
      </c>
      <c r="E1257" t="s">
        <v>170</v>
      </c>
      <c r="F1257" t="s">
        <v>155</v>
      </c>
      <c r="G1257" t="s">
        <v>171</v>
      </c>
      <c r="H1257" t="s">
        <v>172</v>
      </c>
      <c r="I1257" t="s">
        <v>25</v>
      </c>
      <c r="J1257">
        <v>738</v>
      </c>
      <c r="K1257" t="s">
        <v>173</v>
      </c>
      <c r="L1257">
        <v>3</v>
      </c>
      <c r="M1257">
        <v>12.07</v>
      </c>
      <c r="P1257" t="s">
        <v>33</v>
      </c>
      <c r="Q1257" s="1">
        <v>1</v>
      </c>
      <c r="R1257" t="s">
        <v>1272</v>
      </c>
      <c r="S1257" t="str">
        <f t="shared" si="6"/>
        <v>Phù hợp 1 phần</v>
      </c>
    </row>
    <row r="1258" spans="1:19" hidden="1" x14ac:dyDescent="0.3">
      <c r="A1258" t="s">
        <v>1121</v>
      </c>
      <c r="B1258" t="s">
        <v>1122</v>
      </c>
      <c r="C1258" t="s">
        <v>1079</v>
      </c>
      <c r="D1258">
        <v>20777</v>
      </c>
      <c r="E1258" t="s">
        <v>174</v>
      </c>
      <c r="F1258" t="s">
        <v>155</v>
      </c>
      <c r="G1258" t="s">
        <v>175</v>
      </c>
      <c r="H1258" t="s">
        <v>176</v>
      </c>
      <c r="I1258" t="s">
        <v>31</v>
      </c>
      <c r="J1258">
        <v>384</v>
      </c>
      <c r="K1258" t="s">
        <v>177</v>
      </c>
      <c r="N1258">
        <v>3</v>
      </c>
      <c r="O1258">
        <v>0.40570000000000001</v>
      </c>
      <c r="P1258" t="s">
        <v>38</v>
      </c>
      <c r="Q1258" s="1">
        <v>0</v>
      </c>
      <c r="R1258" t="s">
        <v>1272</v>
      </c>
      <c r="S1258" t="str">
        <f t="shared" si="6"/>
        <v>ko hợp</v>
      </c>
    </row>
    <row r="1259" spans="1:19" hidden="1" x14ac:dyDescent="0.3">
      <c r="A1259" t="s">
        <v>1121</v>
      </c>
      <c r="B1259" t="s">
        <v>1122</v>
      </c>
      <c r="C1259" t="s">
        <v>1079</v>
      </c>
      <c r="D1259">
        <v>5049</v>
      </c>
      <c r="E1259" t="s">
        <v>354</v>
      </c>
      <c r="F1259" t="s">
        <v>288</v>
      </c>
      <c r="G1259" t="s">
        <v>355</v>
      </c>
      <c r="H1259" t="s">
        <v>356</v>
      </c>
      <c r="I1259" t="s">
        <v>25</v>
      </c>
      <c r="J1259">
        <v>306</v>
      </c>
      <c r="K1259" t="s">
        <v>357</v>
      </c>
      <c r="N1259">
        <v>4</v>
      </c>
      <c r="O1259">
        <v>0.40450000000000003</v>
      </c>
      <c r="P1259" t="s">
        <v>38</v>
      </c>
      <c r="Q1259" s="1">
        <v>1</v>
      </c>
      <c r="R1259" t="s">
        <v>1272</v>
      </c>
      <c r="S1259" t="str">
        <f t="shared" si="6"/>
        <v>Phù hợp 1 phần</v>
      </c>
    </row>
    <row r="1260" spans="1:19" hidden="1" x14ac:dyDescent="0.3">
      <c r="A1260" t="s">
        <v>1121</v>
      </c>
      <c r="B1260" t="s">
        <v>1122</v>
      </c>
      <c r="C1260" t="s">
        <v>1079</v>
      </c>
      <c r="D1260">
        <v>19735</v>
      </c>
      <c r="E1260" t="s">
        <v>827</v>
      </c>
      <c r="F1260" t="s">
        <v>828</v>
      </c>
      <c r="G1260" t="s">
        <v>829</v>
      </c>
      <c r="H1260" t="s">
        <v>830</v>
      </c>
      <c r="I1260" t="s">
        <v>25</v>
      </c>
      <c r="J1260">
        <v>559</v>
      </c>
      <c r="K1260" t="s">
        <v>831</v>
      </c>
      <c r="L1260">
        <v>4</v>
      </c>
      <c r="M1260">
        <v>11.8612</v>
      </c>
      <c r="P1260" t="s">
        <v>33</v>
      </c>
      <c r="Q1260" s="1">
        <v>0</v>
      </c>
      <c r="R1260" t="s">
        <v>1272</v>
      </c>
      <c r="S1260" t="str">
        <f t="shared" si="6"/>
        <v>ko hợp</v>
      </c>
    </row>
    <row r="1261" spans="1:19" hidden="1" x14ac:dyDescent="0.3">
      <c r="A1261" t="s">
        <v>1121</v>
      </c>
      <c r="B1261" t="s">
        <v>1122</v>
      </c>
      <c r="C1261" t="s">
        <v>1079</v>
      </c>
      <c r="D1261">
        <v>13681</v>
      </c>
      <c r="E1261" t="s">
        <v>112</v>
      </c>
      <c r="F1261" t="s">
        <v>74</v>
      </c>
      <c r="G1261" t="s">
        <v>113</v>
      </c>
      <c r="H1261" t="s">
        <v>114</v>
      </c>
      <c r="I1261" t="s">
        <v>31</v>
      </c>
      <c r="J1261">
        <v>580</v>
      </c>
      <c r="K1261" t="s">
        <v>115</v>
      </c>
      <c r="L1261">
        <v>5</v>
      </c>
      <c r="M1261">
        <v>11.559900000000001</v>
      </c>
      <c r="P1261" t="s">
        <v>33</v>
      </c>
      <c r="Q1261" s="1">
        <v>0</v>
      </c>
      <c r="R1261" t="s">
        <v>1272</v>
      </c>
      <c r="S1261" t="str">
        <f t="shared" si="6"/>
        <v>ko hợp</v>
      </c>
    </row>
    <row r="1262" spans="1:19" hidden="1" x14ac:dyDescent="0.3">
      <c r="A1262" t="s">
        <v>1121</v>
      </c>
      <c r="B1262" t="s">
        <v>1122</v>
      </c>
      <c r="C1262" t="s">
        <v>1079</v>
      </c>
      <c r="D1262">
        <v>20773</v>
      </c>
      <c r="E1262" t="s">
        <v>109</v>
      </c>
      <c r="F1262" t="s">
        <v>60</v>
      </c>
      <c r="G1262" t="s">
        <v>41</v>
      </c>
      <c r="H1262" t="s">
        <v>110</v>
      </c>
      <c r="I1262" t="s">
        <v>25</v>
      </c>
      <c r="J1262">
        <v>1156</v>
      </c>
      <c r="K1262" t="s">
        <v>111</v>
      </c>
      <c r="N1262">
        <v>5</v>
      </c>
      <c r="O1262">
        <v>0.39829999999999999</v>
      </c>
      <c r="P1262" t="s">
        <v>38</v>
      </c>
      <c r="Q1262" s="1">
        <v>0</v>
      </c>
      <c r="R1262" t="s">
        <v>1272</v>
      </c>
      <c r="S1262" t="str">
        <f t="shared" si="6"/>
        <v>ko hợp</v>
      </c>
    </row>
    <row r="1263" spans="1:19" hidden="1" x14ac:dyDescent="0.3">
      <c r="A1263" t="s">
        <v>1121</v>
      </c>
      <c r="B1263" t="s">
        <v>1122</v>
      </c>
      <c r="C1263" t="s">
        <v>1079</v>
      </c>
      <c r="D1263">
        <v>17349</v>
      </c>
      <c r="E1263" t="s">
        <v>234</v>
      </c>
      <c r="F1263" t="s">
        <v>155</v>
      </c>
      <c r="G1263" t="s">
        <v>235</v>
      </c>
      <c r="H1263" t="s">
        <v>236</v>
      </c>
      <c r="I1263" t="s">
        <v>25</v>
      </c>
      <c r="J1263">
        <v>281</v>
      </c>
      <c r="K1263" t="s">
        <v>237</v>
      </c>
      <c r="L1263">
        <v>6</v>
      </c>
      <c r="M1263">
        <v>11.5025</v>
      </c>
      <c r="P1263" t="s">
        <v>33</v>
      </c>
      <c r="Q1263" s="1">
        <v>0</v>
      </c>
      <c r="R1263" t="s">
        <v>1272</v>
      </c>
      <c r="S1263" t="str">
        <f t="shared" si="6"/>
        <v>ko hợp</v>
      </c>
    </row>
    <row r="1264" spans="1:19" hidden="1" x14ac:dyDescent="0.3">
      <c r="A1264" t="s">
        <v>1121</v>
      </c>
      <c r="B1264" t="s">
        <v>1122</v>
      </c>
      <c r="C1264" t="s">
        <v>1079</v>
      </c>
      <c r="D1264">
        <v>18836</v>
      </c>
      <c r="E1264" t="s">
        <v>403</v>
      </c>
      <c r="F1264" t="s">
        <v>404</v>
      </c>
      <c r="G1264" t="s">
        <v>405</v>
      </c>
      <c r="H1264" t="s">
        <v>406</v>
      </c>
      <c r="I1264" t="s">
        <v>25</v>
      </c>
      <c r="J1264">
        <v>1168</v>
      </c>
      <c r="K1264" t="s">
        <v>407</v>
      </c>
      <c r="N1264">
        <v>6</v>
      </c>
      <c r="O1264">
        <v>0.39500000000000002</v>
      </c>
      <c r="P1264" t="s">
        <v>38</v>
      </c>
      <c r="Q1264" s="1">
        <v>0</v>
      </c>
      <c r="R1264" t="s">
        <v>1272</v>
      </c>
      <c r="S1264" t="str">
        <f t="shared" si="6"/>
        <v>ko hợp</v>
      </c>
    </row>
    <row r="1265" spans="1:19" hidden="1" x14ac:dyDescent="0.3">
      <c r="A1265" t="s">
        <v>1121</v>
      </c>
      <c r="B1265" t="s">
        <v>1122</v>
      </c>
      <c r="C1265" t="s">
        <v>1079</v>
      </c>
      <c r="D1265">
        <v>17792</v>
      </c>
      <c r="E1265" t="s">
        <v>229</v>
      </c>
      <c r="F1265" t="s">
        <v>230</v>
      </c>
      <c r="G1265" t="s">
        <v>231</v>
      </c>
      <c r="H1265" t="s">
        <v>232</v>
      </c>
      <c r="I1265" t="s">
        <v>31</v>
      </c>
      <c r="J1265">
        <v>564</v>
      </c>
      <c r="K1265" t="s">
        <v>233</v>
      </c>
      <c r="L1265">
        <v>7</v>
      </c>
      <c r="M1265">
        <v>11.247299999999999</v>
      </c>
      <c r="P1265" t="s">
        <v>33</v>
      </c>
      <c r="Q1265" s="1">
        <v>0</v>
      </c>
      <c r="R1265" t="s">
        <v>1272</v>
      </c>
      <c r="S1265" t="str">
        <f t="shared" si="6"/>
        <v>ko hợp</v>
      </c>
    </row>
    <row r="1266" spans="1:19" hidden="1" x14ac:dyDescent="0.3">
      <c r="A1266" t="s">
        <v>1121</v>
      </c>
      <c r="B1266" t="s">
        <v>1122</v>
      </c>
      <c r="C1266" t="s">
        <v>1079</v>
      </c>
      <c r="D1266">
        <v>19992</v>
      </c>
      <c r="E1266" t="s">
        <v>408</v>
      </c>
      <c r="F1266" t="s">
        <v>22</v>
      </c>
      <c r="G1266" t="s">
        <v>409</v>
      </c>
      <c r="H1266" t="s">
        <v>410</v>
      </c>
      <c r="I1266" t="s">
        <v>31</v>
      </c>
      <c r="J1266">
        <v>553</v>
      </c>
      <c r="K1266" t="s">
        <v>411</v>
      </c>
      <c r="N1266">
        <v>7</v>
      </c>
      <c r="O1266">
        <v>0.39219999999999999</v>
      </c>
      <c r="P1266" t="s">
        <v>38</v>
      </c>
      <c r="Q1266" s="1">
        <v>1</v>
      </c>
      <c r="R1266" t="s">
        <v>1272</v>
      </c>
      <c r="S1266" t="str">
        <f t="shared" si="6"/>
        <v>Phù hợp 1 phần</v>
      </c>
    </row>
    <row r="1267" spans="1:19" hidden="1" x14ac:dyDescent="0.3">
      <c r="A1267" t="s">
        <v>1121</v>
      </c>
      <c r="B1267" t="s">
        <v>1122</v>
      </c>
      <c r="C1267" t="s">
        <v>1079</v>
      </c>
      <c r="D1267">
        <v>12188</v>
      </c>
      <c r="E1267" t="s">
        <v>680</v>
      </c>
      <c r="F1267" t="s">
        <v>668</v>
      </c>
      <c r="G1267" t="s">
        <v>681</v>
      </c>
      <c r="H1267" t="s">
        <v>682</v>
      </c>
      <c r="I1267" t="s">
        <v>31</v>
      </c>
      <c r="J1267">
        <v>637</v>
      </c>
      <c r="K1267" t="s">
        <v>683</v>
      </c>
      <c r="N1267">
        <v>8</v>
      </c>
      <c r="O1267">
        <v>0.39050000000000001</v>
      </c>
      <c r="P1267" t="s">
        <v>38</v>
      </c>
      <c r="Q1267" s="1">
        <v>0</v>
      </c>
      <c r="R1267" t="s">
        <v>1272</v>
      </c>
      <c r="S1267" t="str">
        <f t="shared" si="6"/>
        <v>ko hợp</v>
      </c>
    </row>
    <row r="1268" spans="1:19" hidden="1" x14ac:dyDescent="0.3">
      <c r="A1268" t="s">
        <v>1121</v>
      </c>
      <c r="B1268" t="s">
        <v>1122</v>
      </c>
      <c r="C1268" t="s">
        <v>1079</v>
      </c>
      <c r="D1268">
        <v>16838</v>
      </c>
      <c r="E1268" t="s">
        <v>129</v>
      </c>
      <c r="F1268" t="s">
        <v>60</v>
      </c>
      <c r="G1268" t="s">
        <v>130</v>
      </c>
      <c r="H1268" t="s">
        <v>131</v>
      </c>
      <c r="I1268" t="s">
        <v>31</v>
      </c>
      <c r="J1268">
        <v>3435</v>
      </c>
      <c r="K1268" t="s">
        <v>132</v>
      </c>
      <c r="L1268">
        <v>8</v>
      </c>
      <c r="M1268">
        <v>11.1663</v>
      </c>
      <c r="P1268" t="s">
        <v>33</v>
      </c>
      <c r="Q1268" s="1">
        <v>0</v>
      </c>
      <c r="R1268" t="s">
        <v>1272</v>
      </c>
      <c r="S1268" t="str">
        <f t="shared" si="6"/>
        <v>ko hợp</v>
      </c>
    </row>
    <row r="1269" spans="1:19" hidden="1" x14ac:dyDescent="0.3">
      <c r="A1269" t="s">
        <v>1121</v>
      </c>
      <c r="B1269" t="s">
        <v>1122</v>
      </c>
      <c r="C1269" t="s">
        <v>1079</v>
      </c>
      <c r="D1269">
        <v>2385</v>
      </c>
      <c r="E1269" t="s">
        <v>284</v>
      </c>
      <c r="F1269" t="s">
        <v>60</v>
      </c>
      <c r="G1269" t="s">
        <v>41</v>
      </c>
      <c r="H1269" t="s">
        <v>285</v>
      </c>
      <c r="I1269" t="s">
        <v>25</v>
      </c>
      <c r="J1269">
        <v>1160</v>
      </c>
      <c r="K1269" t="s">
        <v>286</v>
      </c>
      <c r="N1269">
        <v>9</v>
      </c>
      <c r="O1269">
        <v>0.39040000000000002</v>
      </c>
      <c r="P1269" t="s">
        <v>38</v>
      </c>
      <c r="Q1269" s="1">
        <v>0</v>
      </c>
      <c r="R1269" t="s">
        <v>1272</v>
      </c>
      <c r="S1269" t="str">
        <f t="shared" si="6"/>
        <v>ko hợp</v>
      </c>
    </row>
    <row r="1270" spans="1:19" hidden="1" x14ac:dyDescent="0.3">
      <c r="A1270" t="s">
        <v>1121</v>
      </c>
      <c r="B1270" t="s">
        <v>1122</v>
      </c>
      <c r="C1270" t="s">
        <v>1079</v>
      </c>
      <c r="D1270">
        <v>16546</v>
      </c>
      <c r="E1270" t="s">
        <v>249</v>
      </c>
      <c r="F1270" t="s">
        <v>74</v>
      </c>
      <c r="G1270" t="s">
        <v>250</v>
      </c>
      <c r="H1270" t="s">
        <v>251</v>
      </c>
      <c r="I1270" t="s">
        <v>25</v>
      </c>
      <c r="J1270">
        <v>238</v>
      </c>
      <c r="K1270" t="s">
        <v>252</v>
      </c>
      <c r="L1270">
        <v>9</v>
      </c>
      <c r="M1270">
        <v>10.6112</v>
      </c>
      <c r="P1270" t="s">
        <v>33</v>
      </c>
      <c r="Q1270" s="1">
        <v>0</v>
      </c>
      <c r="R1270" t="s">
        <v>1272</v>
      </c>
      <c r="S1270" t="str">
        <f t="shared" si="6"/>
        <v>ko hợp</v>
      </c>
    </row>
    <row r="1271" spans="1:19" hidden="1" x14ac:dyDescent="0.3">
      <c r="A1271" t="s">
        <v>1121</v>
      </c>
      <c r="B1271" t="s">
        <v>1122</v>
      </c>
      <c r="C1271" t="s">
        <v>1079</v>
      </c>
      <c r="D1271">
        <v>13237</v>
      </c>
      <c r="E1271" t="s">
        <v>137</v>
      </c>
      <c r="F1271" t="s">
        <v>60</v>
      </c>
      <c r="G1271" t="s">
        <v>138</v>
      </c>
      <c r="H1271" t="s">
        <v>139</v>
      </c>
      <c r="I1271" t="s">
        <v>31</v>
      </c>
      <c r="J1271">
        <v>1213</v>
      </c>
      <c r="K1271" t="s">
        <v>140</v>
      </c>
      <c r="N1271">
        <v>10</v>
      </c>
      <c r="O1271">
        <v>0.38479999999999998</v>
      </c>
      <c r="P1271" t="s">
        <v>38</v>
      </c>
      <c r="Q1271" s="1">
        <v>1</v>
      </c>
      <c r="R1271" t="s">
        <v>1272</v>
      </c>
      <c r="S1271" t="str">
        <f t="shared" si="6"/>
        <v>Phù hợp 1 phần</v>
      </c>
    </row>
    <row r="1272" spans="1:19" hidden="1" x14ac:dyDescent="0.3">
      <c r="A1272" t="s">
        <v>1121</v>
      </c>
      <c r="B1272" t="s">
        <v>1122</v>
      </c>
      <c r="C1272" t="s">
        <v>1079</v>
      </c>
      <c r="D1272">
        <v>20632</v>
      </c>
      <c r="E1272" t="s">
        <v>204</v>
      </c>
      <c r="F1272" t="s">
        <v>205</v>
      </c>
      <c r="G1272" t="s">
        <v>206</v>
      </c>
      <c r="H1272" t="s">
        <v>207</v>
      </c>
      <c r="I1272" t="s">
        <v>31</v>
      </c>
      <c r="J1272">
        <v>411</v>
      </c>
      <c r="K1272" t="s">
        <v>208</v>
      </c>
      <c r="L1272">
        <v>10</v>
      </c>
      <c r="M1272">
        <v>10.043200000000001</v>
      </c>
      <c r="P1272" t="s">
        <v>33</v>
      </c>
      <c r="Q1272" s="1">
        <v>0</v>
      </c>
      <c r="R1272" t="s">
        <v>1272</v>
      </c>
      <c r="S1272" t="str">
        <f t="shared" si="6"/>
        <v>ko hợp</v>
      </c>
    </row>
    <row r="1273" spans="1:19" hidden="1" x14ac:dyDescent="0.3">
      <c r="A1273" t="s">
        <v>1123</v>
      </c>
      <c r="B1273" t="s">
        <v>1124</v>
      </c>
      <c r="C1273" t="s">
        <v>1079</v>
      </c>
      <c r="D1273">
        <v>15744</v>
      </c>
      <c r="E1273" t="s">
        <v>1125</v>
      </c>
      <c r="F1273" t="s">
        <v>155</v>
      </c>
      <c r="G1273" t="s">
        <v>156</v>
      </c>
      <c r="H1273" t="s">
        <v>1126</v>
      </c>
      <c r="I1273" t="s">
        <v>25</v>
      </c>
      <c r="J1273">
        <v>1475</v>
      </c>
      <c r="K1273" t="s">
        <v>1127</v>
      </c>
      <c r="L1273">
        <v>1</v>
      </c>
      <c r="M1273">
        <v>11.0824</v>
      </c>
      <c r="P1273" t="s">
        <v>33</v>
      </c>
      <c r="Q1273" s="1">
        <v>1</v>
      </c>
      <c r="R1273" t="s">
        <v>1272</v>
      </c>
      <c r="S1273" t="str">
        <f t="shared" si="6"/>
        <v>Phù hợp 1 phần</v>
      </c>
    </row>
    <row r="1274" spans="1:19" hidden="1" x14ac:dyDescent="0.3">
      <c r="A1274" t="s">
        <v>1123</v>
      </c>
      <c r="B1274" t="s">
        <v>1124</v>
      </c>
      <c r="C1274" t="s">
        <v>1079</v>
      </c>
      <c r="D1274">
        <v>16145</v>
      </c>
      <c r="E1274" t="s">
        <v>182</v>
      </c>
      <c r="F1274" t="s">
        <v>155</v>
      </c>
      <c r="G1274" t="s">
        <v>183</v>
      </c>
      <c r="H1274" t="s">
        <v>184</v>
      </c>
      <c r="I1274" t="s">
        <v>31</v>
      </c>
      <c r="J1274">
        <v>2447</v>
      </c>
      <c r="K1274" t="s">
        <v>185</v>
      </c>
      <c r="N1274">
        <v>1</v>
      </c>
      <c r="O1274">
        <v>0.39860000000000001</v>
      </c>
      <c r="P1274" t="s">
        <v>38</v>
      </c>
      <c r="Q1274" s="1">
        <v>1</v>
      </c>
      <c r="R1274" t="s">
        <v>1272</v>
      </c>
      <c r="S1274" t="str">
        <f t="shared" si="6"/>
        <v>Phù hợp 1 phần</v>
      </c>
    </row>
    <row r="1275" spans="1:19" hidden="1" x14ac:dyDescent="0.3">
      <c r="A1275" t="s">
        <v>1123</v>
      </c>
      <c r="B1275" t="s">
        <v>1124</v>
      </c>
      <c r="C1275" t="s">
        <v>1079</v>
      </c>
      <c r="D1275">
        <v>18853</v>
      </c>
      <c r="E1275" t="s">
        <v>714</v>
      </c>
      <c r="F1275" t="s">
        <v>715</v>
      </c>
      <c r="G1275" t="s">
        <v>41</v>
      </c>
      <c r="H1275" t="s">
        <v>716</v>
      </c>
      <c r="I1275" t="s">
        <v>25</v>
      </c>
      <c r="J1275">
        <v>540</v>
      </c>
      <c r="K1275" t="s">
        <v>717</v>
      </c>
      <c r="L1275">
        <v>2</v>
      </c>
      <c r="M1275">
        <v>10.920299999999999</v>
      </c>
      <c r="P1275" t="s">
        <v>33</v>
      </c>
      <c r="Q1275" s="1">
        <v>0</v>
      </c>
      <c r="R1275" t="s">
        <v>1272</v>
      </c>
      <c r="S1275" t="str">
        <f t="shared" si="6"/>
        <v>ko hợp</v>
      </c>
    </row>
    <row r="1276" spans="1:19" hidden="1" x14ac:dyDescent="0.3">
      <c r="A1276" t="s">
        <v>1123</v>
      </c>
      <c r="B1276" t="s">
        <v>1124</v>
      </c>
      <c r="C1276" t="s">
        <v>1079</v>
      </c>
      <c r="D1276">
        <v>20595</v>
      </c>
      <c r="E1276" t="s">
        <v>190</v>
      </c>
      <c r="F1276" t="s">
        <v>191</v>
      </c>
      <c r="G1276" t="s">
        <v>192</v>
      </c>
      <c r="H1276" t="s">
        <v>193</v>
      </c>
      <c r="I1276" t="s">
        <v>25</v>
      </c>
      <c r="J1276">
        <v>2941</v>
      </c>
      <c r="K1276" t="s">
        <v>194</v>
      </c>
      <c r="N1276">
        <v>2</v>
      </c>
      <c r="O1276">
        <v>0.39050000000000001</v>
      </c>
      <c r="P1276" t="s">
        <v>38</v>
      </c>
      <c r="Q1276" s="1">
        <v>1</v>
      </c>
      <c r="R1276" t="s">
        <v>1272</v>
      </c>
      <c r="S1276" t="str">
        <f t="shared" si="6"/>
        <v>Phù hợp 1 phần</v>
      </c>
    </row>
    <row r="1277" spans="1:19" hidden="1" x14ac:dyDescent="0.3">
      <c r="A1277" t="s">
        <v>1123</v>
      </c>
      <c r="B1277" t="s">
        <v>1124</v>
      </c>
      <c r="C1277" t="s">
        <v>1079</v>
      </c>
      <c r="D1277">
        <v>18831</v>
      </c>
      <c r="E1277" t="s">
        <v>841</v>
      </c>
      <c r="F1277" t="s">
        <v>842</v>
      </c>
      <c r="G1277" t="s">
        <v>41</v>
      </c>
      <c r="H1277" t="s">
        <v>843</v>
      </c>
      <c r="I1277" t="s">
        <v>31</v>
      </c>
      <c r="J1277">
        <v>565</v>
      </c>
      <c r="K1277" t="s">
        <v>844</v>
      </c>
      <c r="L1277">
        <v>3</v>
      </c>
      <c r="M1277">
        <v>10.781599999999999</v>
      </c>
      <c r="N1277">
        <v>7</v>
      </c>
      <c r="O1277">
        <v>0.37040000000000001</v>
      </c>
      <c r="P1277" t="s">
        <v>27</v>
      </c>
      <c r="Q1277" s="1">
        <v>1</v>
      </c>
      <c r="R1277" t="s">
        <v>1272</v>
      </c>
      <c r="S1277" t="str">
        <f t="shared" si="6"/>
        <v>Phù hợp 1 phần</v>
      </c>
    </row>
    <row r="1278" spans="1:19" hidden="1" x14ac:dyDescent="0.3">
      <c r="A1278" t="s">
        <v>1123</v>
      </c>
      <c r="B1278" t="s">
        <v>1124</v>
      </c>
      <c r="C1278" t="s">
        <v>1079</v>
      </c>
      <c r="D1278">
        <v>20532</v>
      </c>
      <c r="E1278" t="s">
        <v>221</v>
      </c>
      <c r="F1278" t="s">
        <v>222</v>
      </c>
      <c r="G1278" t="s">
        <v>41</v>
      </c>
      <c r="H1278" t="s">
        <v>223</v>
      </c>
      <c r="I1278" t="s">
        <v>25</v>
      </c>
      <c r="J1278">
        <v>1105</v>
      </c>
      <c r="K1278" t="s">
        <v>224</v>
      </c>
      <c r="N1278">
        <v>3</v>
      </c>
      <c r="O1278">
        <v>0.3891</v>
      </c>
      <c r="P1278" t="s">
        <v>38</v>
      </c>
      <c r="Q1278" s="1">
        <v>1</v>
      </c>
      <c r="R1278" t="s">
        <v>1272</v>
      </c>
      <c r="S1278" t="str">
        <f t="shared" si="6"/>
        <v>Phù hợp 1 phần</v>
      </c>
    </row>
    <row r="1279" spans="1:19" hidden="1" x14ac:dyDescent="0.3">
      <c r="A1279" t="s">
        <v>1123</v>
      </c>
      <c r="B1279" t="s">
        <v>1124</v>
      </c>
      <c r="C1279" t="s">
        <v>1079</v>
      </c>
      <c r="D1279">
        <v>19282</v>
      </c>
      <c r="E1279" t="s">
        <v>244</v>
      </c>
      <c r="F1279" t="s">
        <v>245</v>
      </c>
      <c r="G1279" t="s">
        <v>246</v>
      </c>
      <c r="H1279" t="s">
        <v>247</v>
      </c>
      <c r="I1279" t="s">
        <v>25</v>
      </c>
      <c r="J1279">
        <v>814</v>
      </c>
      <c r="K1279" t="s">
        <v>248</v>
      </c>
      <c r="L1279">
        <v>4</v>
      </c>
      <c r="M1279">
        <v>10.393000000000001</v>
      </c>
      <c r="N1279">
        <v>9</v>
      </c>
      <c r="O1279">
        <v>0.35849999999999999</v>
      </c>
      <c r="P1279" t="s">
        <v>27</v>
      </c>
      <c r="Q1279" s="1">
        <v>0</v>
      </c>
      <c r="R1279" t="s">
        <v>1272</v>
      </c>
      <c r="S1279" t="str">
        <f t="shared" si="6"/>
        <v>ko hợp</v>
      </c>
    </row>
    <row r="1280" spans="1:19" hidden="1" x14ac:dyDescent="0.3">
      <c r="A1280" t="s">
        <v>1123</v>
      </c>
      <c r="B1280" t="s">
        <v>1124</v>
      </c>
      <c r="C1280" t="s">
        <v>1079</v>
      </c>
      <c r="D1280">
        <v>19710</v>
      </c>
      <c r="E1280" t="s">
        <v>199</v>
      </c>
      <c r="F1280" t="s">
        <v>200</v>
      </c>
      <c r="G1280" t="s">
        <v>201</v>
      </c>
      <c r="H1280" t="s">
        <v>202</v>
      </c>
      <c r="I1280" t="s">
        <v>31</v>
      </c>
      <c r="J1280">
        <v>262</v>
      </c>
      <c r="K1280" t="s">
        <v>203</v>
      </c>
      <c r="N1280">
        <v>4</v>
      </c>
      <c r="O1280">
        <v>0.37869999999999998</v>
      </c>
      <c r="P1280" t="s">
        <v>38</v>
      </c>
      <c r="Q1280" s="1">
        <v>1</v>
      </c>
      <c r="R1280" t="s">
        <v>1272</v>
      </c>
      <c r="S1280" t="str">
        <f t="shared" si="6"/>
        <v>Phù hợp 1 phần</v>
      </c>
    </row>
    <row r="1281" spans="1:19" hidden="1" x14ac:dyDescent="0.3">
      <c r="A1281" t="s">
        <v>1123</v>
      </c>
      <c r="B1281" t="s">
        <v>1124</v>
      </c>
      <c r="C1281" t="s">
        <v>1079</v>
      </c>
      <c r="D1281">
        <v>16814</v>
      </c>
      <c r="E1281" t="s">
        <v>787</v>
      </c>
      <c r="F1281" t="s">
        <v>60</v>
      </c>
      <c r="G1281" t="s">
        <v>788</v>
      </c>
      <c r="H1281" t="s">
        <v>789</v>
      </c>
      <c r="I1281" t="s">
        <v>25</v>
      </c>
      <c r="J1281">
        <v>483</v>
      </c>
      <c r="K1281" t="s">
        <v>790</v>
      </c>
      <c r="L1281">
        <v>5</v>
      </c>
      <c r="M1281">
        <v>10.2262</v>
      </c>
      <c r="P1281" t="s">
        <v>33</v>
      </c>
      <c r="Q1281" s="1">
        <v>0</v>
      </c>
      <c r="R1281" t="s">
        <v>1272</v>
      </c>
      <c r="S1281" t="str">
        <f t="shared" si="6"/>
        <v>ko hợp</v>
      </c>
    </row>
    <row r="1282" spans="1:19" hidden="1" x14ac:dyDescent="0.3">
      <c r="A1282" t="s">
        <v>1123</v>
      </c>
      <c r="B1282" t="s">
        <v>1124</v>
      </c>
      <c r="C1282" t="s">
        <v>1079</v>
      </c>
      <c r="D1282">
        <v>17349</v>
      </c>
      <c r="E1282" t="s">
        <v>234</v>
      </c>
      <c r="F1282" t="s">
        <v>155</v>
      </c>
      <c r="G1282" t="s">
        <v>235</v>
      </c>
      <c r="H1282" t="s">
        <v>236</v>
      </c>
      <c r="I1282" t="s">
        <v>25</v>
      </c>
      <c r="J1282">
        <v>281</v>
      </c>
      <c r="K1282" t="s">
        <v>237</v>
      </c>
      <c r="L1282">
        <v>9</v>
      </c>
      <c r="M1282">
        <v>9.6104000000000003</v>
      </c>
      <c r="N1282">
        <v>5</v>
      </c>
      <c r="O1282">
        <v>0.37830000000000003</v>
      </c>
      <c r="P1282" t="s">
        <v>27</v>
      </c>
      <c r="Q1282" s="1">
        <v>1</v>
      </c>
      <c r="R1282" t="s">
        <v>1272</v>
      </c>
      <c r="S1282" t="str">
        <f t="shared" si="6"/>
        <v>Phù hợp 1 phần</v>
      </c>
    </row>
    <row r="1283" spans="1:19" hidden="1" x14ac:dyDescent="0.3">
      <c r="A1283" t="s">
        <v>1123</v>
      </c>
      <c r="B1283" t="s">
        <v>1124</v>
      </c>
      <c r="C1283" t="s">
        <v>1079</v>
      </c>
      <c r="D1283">
        <v>19509</v>
      </c>
      <c r="E1283" t="s">
        <v>876</v>
      </c>
      <c r="F1283" t="s">
        <v>155</v>
      </c>
      <c r="G1283" t="s">
        <v>877</v>
      </c>
      <c r="H1283" t="s">
        <v>878</v>
      </c>
      <c r="I1283" t="s">
        <v>31</v>
      </c>
      <c r="J1283">
        <v>201</v>
      </c>
      <c r="K1283" t="s">
        <v>879</v>
      </c>
      <c r="L1283">
        <v>6</v>
      </c>
      <c r="M1283">
        <v>10.187799999999999</v>
      </c>
      <c r="P1283" t="s">
        <v>33</v>
      </c>
      <c r="Q1283" s="1">
        <v>1</v>
      </c>
      <c r="R1283" t="s">
        <v>1272</v>
      </c>
      <c r="S1283" t="str">
        <f t="shared" si="6"/>
        <v>Phù hợp 1 phần</v>
      </c>
    </row>
    <row r="1284" spans="1:19" hidden="1" x14ac:dyDescent="0.3">
      <c r="A1284" t="s">
        <v>1123</v>
      </c>
      <c r="B1284" t="s">
        <v>1124</v>
      </c>
      <c r="C1284" t="s">
        <v>1079</v>
      </c>
      <c r="D1284">
        <v>20043</v>
      </c>
      <c r="E1284" t="s">
        <v>412</v>
      </c>
      <c r="F1284" t="s">
        <v>413</v>
      </c>
      <c r="G1284" t="s">
        <v>414</v>
      </c>
      <c r="H1284" t="s">
        <v>415</v>
      </c>
      <c r="I1284" t="s">
        <v>25</v>
      </c>
      <c r="J1284">
        <v>558</v>
      </c>
      <c r="K1284" t="s">
        <v>416</v>
      </c>
      <c r="N1284">
        <v>6</v>
      </c>
      <c r="O1284">
        <v>0.37040000000000001</v>
      </c>
      <c r="P1284" t="s">
        <v>38</v>
      </c>
      <c r="Q1284" s="1">
        <v>1</v>
      </c>
      <c r="R1284" t="s">
        <v>1272</v>
      </c>
      <c r="S1284" t="str">
        <f t="shared" si="6"/>
        <v>Phù hợp 1 phần</v>
      </c>
    </row>
    <row r="1285" spans="1:19" hidden="1" x14ac:dyDescent="0.3">
      <c r="A1285" t="s">
        <v>1123</v>
      </c>
      <c r="B1285" t="s">
        <v>1124</v>
      </c>
      <c r="C1285" t="s">
        <v>1079</v>
      </c>
      <c r="D1285">
        <v>14198</v>
      </c>
      <c r="E1285" t="s">
        <v>73</v>
      </c>
      <c r="F1285" t="s">
        <v>74</v>
      </c>
      <c r="G1285" t="s">
        <v>75</v>
      </c>
      <c r="H1285" t="s">
        <v>76</v>
      </c>
      <c r="I1285" t="s">
        <v>31</v>
      </c>
      <c r="J1285">
        <v>377</v>
      </c>
      <c r="K1285" t="s">
        <v>77</v>
      </c>
      <c r="L1285">
        <v>7</v>
      </c>
      <c r="M1285">
        <v>9.8803000000000001</v>
      </c>
      <c r="P1285" t="s">
        <v>33</v>
      </c>
      <c r="Q1285" s="1">
        <v>0</v>
      </c>
      <c r="R1285" t="s">
        <v>1272</v>
      </c>
      <c r="S1285" t="str">
        <f t="shared" si="6"/>
        <v>ko hợp</v>
      </c>
    </row>
    <row r="1286" spans="1:19" hidden="1" x14ac:dyDescent="0.3">
      <c r="A1286" t="s">
        <v>1123</v>
      </c>
      <c r="B1286" t="s">
        <v>1124</v>
      </c>
      <c r="C1286" t="s">
        <v>1079</v>
      </c>
      <c r="D1286">
        <v>10142</v>
      </c>
      <c r="E1286" t="s">
        <v>225</v>
      </c>
      <c r="F1286" t="s">
        <v>155</v>
      </c>
      <c r="G1286" t="s">
        <v>226</v>
      </c>
      <c r="H1286" t="s">
        <v>227</v>
      </c>
      <c r="I1286" t="s">
        <v>25</v>
      </c>
      <c r="J1286">
        <v>2447</v>
      </c>
      <c r="K1286" t="s">
        <v>228</v>
      </c>
      <c r="N1286">
        <v>8</v>
      </c>
      <c r="O1286">
        <v>0.35980000000000001</v>
      </c>
      <c r="P1286" t="s">
        <v>38</v>
      </c>
      <c r="Q1286" s="1">
        <v>1</v>
      </c>
      <c r="R1286" t="s">
        <v>1272</v>
      </c>
      <c r="S1286" t="str">
        <f t="shared" si="6"/>
        <v>Phù hợp 1 phần</v>
      </c>
    </row>
    <row r="1287" spans="1:19" hidden="1" x14ac:dyDescent="0.3">
      <c r="A1287" t="s">
        <v>1123</v>
      </c>
      <c r="B1287" t="s">
        <v>1124</v>
      </c>
      <c r="C1287" t="s">
        <v>1079</v>
      </c>
      <c r="D1287">
        <v>19299</v>
      </c>
      <c r="E1287" t="s">
        <v>1080</v>
      </c>
      <c r="F1287" t="s">
        <v>1081</v>
      </c>
      <c r="G1287" t="s">
        <v>1082</v>
      </c>
      <c r="H1287" t="s">
        <v>1083</v>
      </c>
      <c r="I1287" t="s">
        <v>31</v>
      </c>
      <c r="J1287">
        <v>439</v>
      </c>
      <c r="K1287" t="s">
        <v>1084</v>
      </c>
      <c r="L1287">
        <v>8</v>
      </c>
      <c r="M1287">
        <v>9.8004999999999995</v>
      </c>
      <c r="P1287" t="s">
        <v>33</v>
      </c>
      <c r="Q1287" s="1">
        <v>0</v>
      </c>
      <c r="R1287" t="s">
        <v>1272</v>
      </c>
      <c r="S1287" t="str">
        <f t="shared" si="6"/>
        <v>ko hợp</v>
      </c>
    </row>
    <row r="1288" spans="1:19" hidden="1" x14ac:dyDescent="0.3">
      <c r="A1288" t="s">
        <v>1123</v>
      </c>
      <c r="B1288" t="s">
        <v>1124</v>
      </c>
      <c r="C1288" t="s">
        <v>1079</v>
      </c>
      <c r="D1288">
        <v>18913</v>
      </c>
      <c r="E1288" t="s">
        <v>1070</v>
      </c>
      <c r="F1288" t="s">
        <v>60</v>
      </c>
      <c r="G1288" t="s">
        <v>318</v>
      </c>
      <c r="H1288" t="s">
        <v>1071</v>
      </c>
      <c r="I1288" t="s">
        <v>31</v>
      </c>
      <c r="J1288">
        <v>505</v>
      </c>
      <c r="K1288" t="s">
        <v>1072</v>
      </c>
      <c r="L1288">
        <v>10</v>
      </c>
      <c r="M1288">
        <v>9.4717000000000002</v>
      </c>
      <c r="P1288" t="s">
        <v>33</v>
      </c>
      <c r="Q1288" s="1">
        <v>0</v>
      </c>
      <c r="R1288" t="s">
        <v>1272</v>
      </c>
      <c r="S1288" t="str">
        <f t="shared" si="6"/>
        <v>ko hợp</v>
      </c>
    </row>
    <row r="1289" spans="1:19" hidden="1" x14ac:dyDescent="0.3">
      <c r="A1289" t="s">
        <v>1123</v>
      </c>
      <c r="B1289" t="s">
        <v>1124</v>
      </c>
      <c r="C1289" t="s">
        <v>1079</v>
      </c>
      <c r="D1289">
        <v>20777</v>
      </c>
      <c r="E1289" t="s">
        <v>174</v>
      </c>
      <c r="F1289" t="s">
        <v>155</v>
      </c>
      <c r="G1289" t="s">
        <v>175</v>
      </c>
      <c r="H1289" t="s">
        <v>176</v>
      </c>
      <c r="I1289" t="s">
        <v>31</v>
      </c>
      <c r="J1289">
        <v>384</v>
      </c>
      <c r="K1289" t="s">
        <v>177</v>
      </c>
      <c r="N1289">
        <v>10</v>
      </c>
      <c r="O1289">
        <v>0.35639999999999999</v>
      </c>
      <c r="P1289" t="s">
        <v>38</v>
      </c>
      <c r="Q1289" s="1">
        <v>1</v>
      </c>
      <c r="R1289" t="s">
        <v>1272</v>
      </c>
      <c r="S1289" t="str">
        <f t="shared" si="6"/>
        <v>Phù hợp 1 phần</v>
      </c>
    </row>
    <row r="1290" spans="1:19" hidden="1" x14ac:dyDescent="0.3">
      <c r="A1290" t="s">
        <v>1128</v>
      </c>
      <c r="B1290" t="s">
        <v>1129</v>
      </c>
      <c r="C1290" t="s">
        <v>1079</v>
      </c>
      <c r="D1290">
        <v>19710</v>
      </c>
      <c r="E1290" t="s">
        <v>199</v>
      </c>
      <c r="F1290" t="s">
        <v>200</v>
      </c>
      <c r="G1290" t="s">
        <v>201</v>
      </c>
      <c r="H1290" t="s">
        <v>202</v>
      </c>
      <c r="I1290" t="s">
        <v>31</v>
      </c>
      <c r="J1290">
        <v>262</v>
      </c>
      <c r="K1290" t="s">
        <v>203</v>
      </c>
      <c r="L1290">
        <v>1</v>
      </c>
      <c r="M1290">
        <v>25.390899999999998</v>
      </c>
      <c r="P1290" t="s">
        <v>33</v>
      </c>
      <c r="Q1290" s="1">
        <v>1</v>
      </c>
      <c r="R1290" t="s">
        <v>1272</v>
      </c>
      <c r="S1290" t="str">
        <f t="shared" si="6"/>
        <v>Phù hợp 1 phần</v>
      </c>
    </row>
    <row r="1291" spans="1:19" hidden="1" x14ac:dyDescent="0.3">
      <c r="A1291" t="s">
        <v>1128</v>
      </c>
      <c r="B1291" t="s">
        <v>1129</v>
      </c>
      <c r="C1291" t="s">
        <v>1079</v>
      </c>
      <c r="D1291">
        <v>19735</v>
      </c>
      <c r="E1291" t="s">
        <v>827</v>
      </c>
      <c r="F1291" t="s">
        <v>828</v>
      </c>
      <c r="G1291" t="s">
        <v>829</v>
      </c>
      <c r="H1291" t="s">
        <v>830</v>
      </c>
      <c r="I1291" t="s">
        <v>25</v>
      </c>
      <c r="J1291">
        <v>559</v>
      </c>
      <c r="K1291" t="s">
        <v>831</v>
      </c>
      <c r="L1291">
        <v>4</v>
      </c>
      <c r="M1291">
        <v>16.117799999999999</v>
      </c>
      <c r="N1291">
        <v>1</v>
      </c>
      <c r="O1291">
        <v>0.42659999999999998</v>
      </c>
      <c r="P1291" t="s">
        <v>27</v>
      </c>
      <c r="Q1291" s="1">
        <v>1</v>
      </c>
      <c r="R1291" t="s">
        <v>1272</v>
      </c>
      <c r="S1291" t="str">
        <f t="shared" si="6"/>
        <v>Phù hợp 1 phần</v>
      </c>
    </row>
    <row r="1292" spans="1:19" hidden="1" x14ac:dyDescent="0.3">
      <c r="A1292" t="s">
        <v>1128</v>
      </c>
      <c r="B1292" t="s">
        <v>1129</v>
      </c>
      <c r="C1292" t="s">
        <v>1079</v>
      </c>
      <c r="D1292">
        <v>16211</v>
      </c>
      <c r="E1292" t="s">
        <v>266</v>
      </c>
      <c r="F1292" t="s">
        <v>74</v>
      </c>
      <c r="G1292" t="s">
        <v>267</v>
      </c>
      <c r="H1292" t="s">
        <v>268</v>
      </c>
      <c r="I1292" t="s">
        <v>31</v>
      </c>
      <c r="J1292">
        <v>1579</v>
      </c>
      <c r="K1292" t="s">
        <v>269</v>
      </c>
      <c r="N1292">
        <v>2</v>
      </c>
      <c r="O1292">
        <v>0.41660000000000003</v>
      </c>
      <c r="P1292" t="s">
        <v>38</v>
      </c>
      <c r="Q1292" s="1">
        <v>0</v>
      </c>
      <c r="R1292" t="s">
        <v>1272</v>
      </c>
      <c r="S1292" t="str">
        <f t="shared" si="6"/>
        <v>ko hợp</v>
      </c>
    </row>
    <row r="1293" spans="1:19" hidden="1" x14ac:dyDescent="0.3">
      <c r="A1293" t="s">
        <v>1128</v>
      </c>
      <c r="B1293" t="s">
        <v>1129</v>
      </c>
      <c r="C1293" t="s">
        <v>1079</v>
      </c>
      <c r="D1293">
        <v>16217</v>
      </c>
      <c r="E1293" t="s">
        <v>483</v>
      </c>
      <c r="F1293" t="s">
        <v>160</v>
      </c>
      <c r="G1293" t="s">
        <v>484</v>
      </c>
      <c r="H1293" t="s">
        <v>485</v>
      </c>
      <c r="I1293" t="s">
        <v>31</v>
      </c>
      <c r="J1293">
        <v>3130</v>
      </c>
      <c r="K1293" t="s">
        <v>486</v>
      </c>
      <c r="L1293">
        <v>2</v>
      </c>
      <c r="M1293">
        <v>16.492799999999999</v>
      </c>
      <c r="P1293" t="s">
        <v>33</v>
      </c>
      <c r="Q1293" s="1">
        <v>0</v>
      </c>
      <c r="R1293" t="s">
        <v>1272</v>
      </c>
      <c r="S1293" t="str">
        <f t="shared" ref="S1293:S1356" si="7">IF(Q1293=2,"ok",IF(Q1293=1,"Phù hợp 1 phần", "ko hợp"))</f>
        <v>ko hợp</v>
      </c>
    </row>
    <row r="1294" spans="1:19" hidden="1" x14ac:dyDescent="0.3">
      <c r="A1294" t="s">
        <v>1128</v>
      </c>
      <c r="B1294" t="s">
        <v>1129</v>
      </c>
      <c r="C1294" t="s">
        <v>1079</v>
      </c>
      <c r="D1294">
        <v>14073</v>
      </c>
      <c r="E1294" t="s">
        <v>258</v>
      </c>
      <c r="F1294" t="s">
        <v>74</v>
      </c>
      <c r="G1294" t="s">
        <v>259</v>
      </c>
      <c r="H1294" t="s">
        <v>260</v>
      </c>
      <c r="I1294" t="s">
        <v>31</v>
      </c>
      <c r="J1294">
        <v>494</v>
      </c>
      <c r="K1294" t="s">
        <v>261</v>
      </c>
      <c r="N1294">
        <v>3</v>
      </c>
      <c r="O1294">
        <v>0.41470000000000001</v>
      </c>
      <c r="P1294" t="s">
        <v>38</v>
      </c>
      <c r="Q1294" s="1">
        <v>0</v>
      </c>
      <c r="R1294" t="s">
        <v>1272</v>
      </c>
      <c r="S1294" t="str">
        <f t="shared" si="7"/>
        <v>ko hợp</v>
      </c>
    </row>
    <row r="1295" spans="1:19" hidden="1" x14ac:dyDescent="0.3">
      <c r="A1295" t="s">
        <v>1128</v>
      </c>
      <c r="B1295" t="s">
        <v>1129</v>
      </c>
      <c r="C1295" t="s">
        <v>1079</v>
      </c>
      <c r="D1295">
        <v>15905</v>
      </c>
      <c r="E1295" t="s">
        <v>262</v>
      </c>
      <c r="F1295" t="s">
        <v>60</v>
      </c>
      <c r="G1295" t="s">
        <v>263</v>
      </c>
      <c r="H1295" t="s">
        <v>264</v>
      </c>
      <c r="I1295" t="s">
        <v>31</v>
      </c>
      <c r="J1295">
        <v>772</v>
      </c>
      <c r="K1295" t="s">
        <v>265</v>
      </c>
      <c r="L1295">
        <v>3</v>
      </c>
      <c r="M1295">
        <v>16.271999999999998</v>
      </c>
      <c r="P1295" t="s">
        <v>33</v>
      </c>
      <c r="Q1295" s="1">
        <v>0</v>
      </c>
      <c r="R1295" t="s">
        <v>1272</v>
      </c>
      <c r="S1295" t="str">
        <f t="shared" si="7"/>
        <v>ko hợp</v>
      </c>
    </row>
    <row r="1296" spans="1:19" hidden="1" x14ac:dyDescent="0.3">
      <c r="A1296" t="s">
        <v>1128</v>
      </c>
      <c r="B1296" t="s">
        <v>1129</v>
      </c>
      <c r="C1296" t="s">
        <v>1079</v>
      </c>
      <c r="D1296">
        <v>19312</v>
      </c>
      <c r="E1296" t="s">
        <v>321</v>
      </c>
      <c r="F1296" t="s">
        <v>322</v>
      </c>
      <c r="G1296" t="s">
        <v>323</v>
      </c>
      <c r="H1296" t="s">
        <v>324</v>
      </c>
      <c r="I1296" t="s">
        <v>31</v>
      </c>
      <c r="J1296">
        <v>2453</v>
      </c>
      <c r="K1296" t="s">
        <v>325</v>
      </c>
      <c r="N1296">
        <v>4</v>
      </c>
      <c r="O1296">
        <v>0.4113</v>
      </c>
      <c r="P1296" t="s">
        <v>38</v>
      </c>
      <c r="Q1296" s="1">
        <v>0</v>
      </c>
      <c r="R1296" t="s">
        <v>1272</v>
      </c>
      <c r="S1296" t="str">
        <f t="shared" si="7"/>
        <v>ko hợp</v>
      </c>
    </row>
    <row r="1297" spans="1:19" hidden="1" x14ac:dyDescent="0.3">
      <c r="A1297" t="s">
        <v>1128</v>
      </c>
      <c r="B1297" t="s">
        <v>1129</v>
      </c>
      <c r="C1297" t="s">
        <v>1079</v>
      </c>
      <c r="D1297">
        <v>8524</v>
      </c>
      <c r="E1297" t="s">
        <v>676</v>
      </c>
      <c r="F1297" t="s">
        <v>668</v>
      </c>
      <c r="G1297" t="s">
        <v>677</v>
      </c>
      <c r="H1297" t="s">
        <v>678</v>
      </c>
      <c r="I1297" t="s">
        <v>25</v>
      </c>
      <c r="J1297">
        <v>226</v>
      </c>
      <c r="K1297" t="s">
        <v>679</v>
      </c>
      <c r="L1297">
        <v>5</v>
      </c>
      <c r="M1297">
        <v>15.036899999999999</v>
      </c>
      <c r="P1297" t="s">
        <v>33</v>
      </c>
      <c r="Q1297" s="1">
        <v>0</v>
      </c>
      <c r="R1297" t="s">
        <v>1272</v>
      </c>
      <c r="S1297" t="str">
        <f t="shared" si="7"/>
        <v>ko hợp</v>
      </c>
    </row>
    <row r="1298" spans="1:19" hidden="1" x14ac:dyDescent="0.3">
      <c r="A1298" t="s">
        <v>1128</v>
      </c>
      <c r="B1298" t="s">
        <v>1129</v>
      </c>
      <c r="C1298" t="s">
        <v>1079</v>
      </c>
      <c r="D1298">
        <v>18262</v>
      </c>
      <c r="E1298" t="s">
        <v>141</v>
      </c>
      <c r="F1298" t="s">
        <v>142</v>
      </c>
      <c r="G1298" t="s">
        <v>143</v>
      </c>
      <c r="H1298" t="s">
        <v>144</v>
      </c>
      <c r="I1298" t="s">
        <v>25</v>
      </c>
      <c r="J1298">
        <v>426</v>
      </c>
      <c r="K1298" t="s">
        <v>145</v>
      </c>
      <c r="N1298">
        <v>5</v>
      </c>
      <c r="O1298">
        <v>0.41120000000000001</v>
      </c>
      <c r="P1298" t="s">
        <v>38</v>
      </c>
      <c r="Q1298" s="1">
        <v>0</v>
      </c>
      <c r="R1298" t="s">
        <v>1272</v>
      </c>
      <c r="S1298" t="str">
        <f t="shared" si="7"/>
        <v>ko hợp</v>
      </c>
    </row>
    <row r="1299" spans="1:19" hidden="1" x14ac:dyDescent="0.3">
      <c r="A1299" t="s">
        <v>1128</v>
      </c>
      <c r="B1299" t="s">
        <v>1129</v>
      </c>
      <c r="C1299" t="s">
        <v>1079</v>
      </c>
      <c r="D1299">
        <v>11553</v>
      </c>
      <c r="E1299" t="s">
        <v>623</v>
      </c>
      <c r="F1299" t="s">
        <v>60</v>
      </c>
      <c r="G1299" t="s">
        <v>624</v>
      </c>
      <c r="H1299" t="s">
        <v>625</v>
      </c>
      <c r="I1299" t="s">
        <v>31</v>
      </c>
      <c r="J1299">
        <v>489</v>
      </c>
      <c r="K1299" t="s">
        <v>626</v>
      </c>
      <c r="N1299">
        <v>6</v>
      </c>
      <c r="O1299">
        <v>0.40949999999999998</v>
      </c>
      <c r="P1299" t="s">
        <v>38</v>
      </c>
      <c r="Q1299" s="1">
        <v>1</v>
      </c>
      <c r="R1299" t="s">
        <v>1272</v>
      </c>
      <c r="S1299" t="str">
        <f t="shared" si="7"/>
        <v>Phù hợp 1 phần</v>
      </c>
    </row>
    <row r="1300" spans="1:19" hidden="1" x14ac:dyDescent="0.3">
      <c r="A1300" t="s">
        <v>1128</v>
      </c>
      <c r="B1300" t="s">
        <v>1129</v>
      </c>
      <c r="C1300" t="s">
        <v>1079</v>
      </c>
      <c r="D1300">
        <v>15093</v>
      </c>
      <c r="E1300" t="s">
        <v>452</v>
      </c>
      <c r="F1300" t="s">
        <v>60</v>
      </c>
      <c r="G1300" t="s">
        <v>453</v>
      </c>
      <c r="H1300" t="s">
        <v>454</v>
      </c>
      <c r="I1300" t="s">
        <v>31</v>
      </c>
      <c r="J1300">
        <v>892</v>
      </c>
      <c r="K1300" t="s">
        <v>455</v>
      </c>
      <c r="L1300">
        <v>6</v>
      </c>
      <c r="M1300">
        <v>14.995900000000001</v>
      </c>
      <c r="N1300">
        <v>9</v>
      </c>
      <c r="O1300">
        <v>0.39889999999999998</v>
      </c>
      <c r="P1300" t="s">
        <v>27</v>
      </c>
      <c r="Q1300" s="1">
        <v>0</v>
      </c>
      <c r="R1300" t="s">
        <v>1272</v>
      </c>
      <c r="S1300" t="str">
        <f t="shared" si="7"/>
        <v>ko hợp</v>
      </c>
    </row>
    <row r="1301" spans="1:19" hidden="1" x14ac:dyDescent="0.3">
      <c r="A1301" t="s">
        <v>1128</v>
      </c>
      <c r="B1301" t="s">
        <v>1129</v>
      </c>
      <c r="C1301" t="s">
        <v>1079</v>
      </c>
      <c r="D1301">
        <v>10796</v>
      </c>
      <c r="E1301" t="s">
        <v>1130</v>
      </c>
      <c r="F1301" t="s">
        <v>60</v>
      </c>
      <c r="G1301" t="s">
        <v>1131</v>
      </c>
      <c r="H1301" t="s">
        <v>1132</v>
      </c>
      <c r="I1301" t="s">
        <v>25</v>
      </c>
      <c r="J1301">
        <v>689</v>
      </c>
      <c r="K1301" t="s">
        <v>1133</v>
      </c>
      <c r="L1301">
        <v>7</v>
      </c>
      <c r="M1301">
        <v>13.8278</v>
      </c>
      <c r="P1301" t="s">
        <v>33</v>
      </c>
      <c r="Q1301" s="1">
        <v>0</v>
      </c>
      <c r="R1301" t="s">
        <v>1272</v>
      </c>
      <c r="S1301" t="str">
        <f t="shared" si="7"/>
        <v>ko hợp</v>
      </c>
    </row>
    <row r="1302" spans="1:19" hidden="1" x14ac:dyDescent="0.3">
      <c r="A1302" t="s">
        <v>1128</v>
      </c>
      <c r="B1302" t="s">
        <v>1129</v>
      </c>
      <c r="C1302" t="s">
        <v>1079</v>
      </c>
      <c r="D1302">
        <v>12674</v>
      </c>
      <c r="E1302" t="s">
        <v>653</v>
      </c>
      <c r="F1302" t="s">
        <v>155</v>
      </c>
      <c r="G1302" t="s">
        <v>654</v>
      </c>
      <c r="H1302" t="s">
        <v>655</v>
      </c>
      <c r="I1302" t="s">
        <v>31</v>
      </c>
      <c r="J1302">
        <v>587</v>
      </c>
      <c r="K1302" t="s">
        <v>656</v>
      </c>
      <c r="N1302">
        <v>7</v>
      </c>
      <c r="O1302">
        <v>0.40679999999999999</v>
      </c>
      <c r="P1302" t="s">
        <v>38</v>
      </c>
      <c r="Q1302" s="1">
        <v>2</v>
      </c>
      <c r="R1302" t="s">
        <v>1272</v>
      </c>
      <c r="S1302" t="str">
        <f t="shared" si="7"/>
        <v>ok</v>
      </c>
    </row>
    <row r="1303" spans="1:19" hidden="1" x14ac:dyDescent="0.3">
      <c r="A1303" t="s">
        <v>1128</v>
      </c>
      <c r="B1303" t="s">
        <v>1129</v>
      </c>
      <c r="C1303" t="s">
        <v>1079</v>
      </c>
      <c r="D1303">
        <v>13107</v>
      </c>
      <c r="E1303" t="s">
        <v>1134</v>
      </c>
      <c r="F1303" t="s">
        <v>155</v>
      </c>
      <c r="G1303" t="s">
        <v>1135</v>
      </c>
      <c r="H1303" t="s">
        <v>1136</v>
      </c>
      <c r="I1303" t="s">
        <v>31</v>
      </c>
      <c r="J1303">
        <v>892</v>
      </c>
      <c r="K1303" t="s">
        <v>1137</v>
      </c>
      <c r="L1303">
        <v>8</v>
      </c>
      <c r="M1303">
        <v>13.3544</v>
      </c>
      <c r="P1303" t="s">
        <v>33</v>
      </c>
      <c r="Q1303" s="1">
        <v>1</v>
      </c>
      <c r="R1303" t="s">
        <v>1272</v>
      </c>
      <c r="S1303" t="str">
        <f t="shared" si="7"/>
        <v>Phù hợp 1 phần</v>
      </c>
    </row>
    <row r="1304" spans="1:19" hidden="1" x14ac:dyDescent="0.3">
      <c r="A1304" t="s">
        <v>1128</v>
      </c>
      <c r="B1304" t="s">
        <v>1129</v>
      </c>
      <c r="C1304" t="s">
        <v>1079</v>
      </c>
      <c r="D1304">
        <v>20532</v>
      </c>
      <c r="E1304" t="s">
        <v>221</v>
      </c>
      <c r="F1304" t="s">
        <v>222</v>
      </c>
      <c r="G1304" t="s">
        <v>41</v>
      </c>
      <c r="H1304" t="s">
        <v>223</v>
      </c>
      <c r="I1304" t="s">
        <v>25</v>
      </c>
      <c r="J1304">
        <v>1105</v>
      </c>
      <c r="K1304" t="s">
        <v>224</v>
      </c>
      <c r="N1304">
        <v>8</v>
      </c>
      <c r="O1304">
        <v>0.40050000000000002</v>
      </c>
      <c r="P1304" t="s">
        <v>38</v>
      </c>
      <c r="Q1304" s="1">
        <v>1</v>
      </c>
      <c r="R1304" t="s">
        <v>1272</v>
      </c>
      <c r="S1304" t="str">
        <f t="shared" si="7"/>
        <v>Phù hợp 1 phần</v>
      </c>
    </row>
    <row r="1305" spans="1:19" hidden="1" x14ac:dyDescent="0.3">
      <c r="A1305" t="s">
        <v>1128</v>
      </c>
      <c r="B1305" t="s">
        <v>1129</v>
      </c>
      <c r="C1305" t="s">
        <v>1079</v>
      </c>
      <c r="D1305">
        <v>12428</v>
      </c>
      <c r="E1305" t="s">
        <v>850</v>
      </c>
      <c r="F1305" t="s">
        <v>74</v>
      </c>
      <c r="G1305" t="s">
        <v>151</v>
      </c>
      <c r="H1305" t="s">
        <v>851</v>
      </c>
      <c r="I1305" t="s">
        <v>31</v>
      </c>
      <c r="J1305">
        <v>891</v>
      </c>
      <c r="K1305" t="s">
        <v>852</v>
      </c>
      <c r="L1305">
        <v>9</v>
      </c>
      <c r="M1305">
        <v>13.1288</v>
      </c>
      <c r="P1305" t="s">
        <v>33</v>
      </c>
      <c r="Q1305" s="1">
        <v>0</v>
      </c>
      <c r="R1305" t="s">
        <v>1272</v>
      </c>
      <c r="S1305" t="str">
        <f t="shared" si="7"/>
        <v>ko hợp</v>
      </c>
    </row>
    <row r="1306" spans="1:19" hidden="1" x14ac:dyDescent="0.3">
      <c r="A1306" t="s">
        <v>1128</v>
      </c>
      <c r="B1306" t="s">
        <v>1129</v>
      </c>
      <c r="C1306" t="s">
        <v>1079</v>
      </c>
      <c r="D1306">
        <v>14998</v>
      </c>
      <c r="E1306" t="s">
        <v>635</v>
      </c>
      <c r="F1306" t="s">
        <v>155</v>
      </c>
      <c r="G1306" t="s">
        <v>156</v>
      </c>
      <c r="H1306" t="s">
        <v>636</v>
      </c>
      <c r="I1306" t="s">
        <v>25</v>
      </c>
      <c r="J1306">
        <v>520</v>
      </c>
      <c r="K1306" t="s">
        <v>637</v>
      </c>
      <c r="L1306">
        <v>10</v>
      </c>
      <c r="M1306">
        <v>12.946</v>
      </c>
      <c r="P1306" t="s">
        <v>33</v>
      </c>
      <c r="Q1306" s="1">
        <v>1</v>
      </c>
      <c r="R1306" t="s">
        <v>1272</v>
      </c>
      <c r="S1306" t="str">
        <f t="shared" si="7"/>
        <v>Phù hợp 1 phần</v>
      </c>
    </row>
    <row r="1307" spans="1:19" hidden="1" x14ac:dyDescent="0.3">
      <c r="A1307" t="s">
        <v>1128</v>
      </c>
      <c r="B1307" t="s">
        <v>1129</v>
      </c>
      <c r="C1307" t="s">
        <v>1079</v>
      </c>
      <c r="D1307">
        <v>19019</v>
      </c>
      <c r="E1307" t="s">
        <v>296</v>
      </c>
      <c r="F1307" t="s">
        <v>297</v>
      </c>
      <c r="G1307" t="s">
        <v>298</v>
      </c>
      <c r="H1307" t="s">
        <v>299</v>
      </c>
      <c r="I1307" t="s">
        <v>25</v>
      </c>
      <c r="J1307">
        <v>999</v>
      </c>
      <c r="K1307" t="s">
        <v>300</v>
      </c>
      <c r="N1307">
        <v>10</v>
      </c>
      <c r="O1307">
        <v>0.39379999999999998</v>
      </c>
      <c r="P1307" t="s">
        <v>38</v>
      </c>
      <c r="Q1307" s="1">
        <v>1</v>
      </c>
      <c r="R1307" t="s">
        <v>1272</v>
      </c>
      <c r="S1307" t="str">
        <f t="shared" si="7"/>
        <v>Phù hợp 1 phần</v>
      </c>
    </row>
    <row r="1308" spans="1:19" hidden="1" x14ac:dyDescent="0.3">
      <c r="A1308" t="s">
        <v>1138</v>
      </c>
      <c r="B1308" t="s">
        <v>1139</v>
      </c>
      <c r="C1308" t="s">
        <v>1079</v>
      </c>
      <c r="D1308">
        <v>13561</v>
      </c>
      <c r="E1308" t="s">
        <v>832</v>
      </c>
      <c r="F1308" t="s">
        <v>60</v>
      </c>
      <c r="G1308" t="s">
        <v>833</v>
      </c>
      <c r="H1308" t="s">
        <v>834</v>
      </c>
      <c r="I1308" t="s">
        <v>31</v>
      </c>
      <c r="J1308">
        <v>498</v>
      </c>
      <c r="K1308" t="s">
        <v>835</v>
      </c>
      <c r="N1308">
        <v>1</v>
      </c>
      <c r="O1308">
        <v>0.4708</v>
      </c>
      <c r="P1308" t="s">
        <v>38</v>
      </c>
      <c r="Q1308" s="1">
        <v>1</v>
      </c>
      <c r="R1308" t="s">
        <v>1272</v>
      </c>
      <c r="S1308" t="str">
        <f t="shared" si="7"/>
        <v>Phù hợp 1 phần</v>
      </c>
    </row>
    <row r="1309" spans="1:19" hidden="1" x14ac:dyDescent="0.3">
      <c r="A1309" t="s">
        <v>1138</v>
      </c>
      <c r="B1309" t="s">
        <v>1139</v>
      </c>
      <c r="C1309" t="s">
        <v>1079</v>
      </c>
      <c r="D1309">
        <v>19982</v>
      </c>
      <c r="E1309" t="s">
        <v>28</v>
      </c>
      <c r="F1309" t="s">
        <v>22</v>
      </c>
      <c r="G1309" t="s">
        <v>29</v>
      </c>
      <c r="H1309" t="s">
        <v>30</v>
      </c>
      <c r="I1309" t="s">
        <v>31</v>
      </c>
      <c r="J1309">
        <v>543</v>
      </c>
      <c r="K1309" t="s">
        <v>32</v>
      </c>
      <c r="L1309">
        <v>1</v>
      </c>
      <c r="M1309">
        <v>14.3795</v>
      </c>
      <c r="P1309" t="s">
        <v>33</v>
      </c>
      <c r="Q1309" s="1">
        <v>1</v>
      </c>
      <c r="R1309" t="s">
        <v>1272</v>
      </c>
      <c r="S1309" t="str">
        <f t="shared" si="7"/>
        <v>Phù hợp 1 phần</v>
      </c>
    </row>
    <row r="1310" spans="1:19" hidden="1" x14ac:dyDescent="0.3">
      <c r="A1310" t="s">
        <v>1138</v>
      </c>
      <c r="B1310" t="s">
        <v>1139</v>
      </c>
      <c r="C1310" t="s">
        <v>1079</v>
      </c>
      <c r="D1310">
        <v>10142</v>
      </c>
      <c r="E1310" t="s">
        <v>225</v>
      </c>
      <c r="F1310" t="s">
        <v>155</v>
      </c>
      <c r="G1310" t="s">
        <v>226</v>
      </c>
      <c r="H1310" t="s">
        <v>227</v>
      </c>
      <c r="I1310" t="s">
        <v>25</v>
      </c>
      <c r="J1310">
        <v>2447</v>
      </c>
      <c r="K1310" t="s">
        <v>228</v>
      </c>
      <c r="L1310">
        <v>2</v>
      </c>
      <c r="M1310">
        <v>12.6698</v>
      </c>
      <c r="P1310" t="s">
        <v>33</v>
      </c>
      <c r="Q1310" s="1">
        <v>1</v>
      </c>
      <c r="R1310" t="s">
        <v>1272</v>
      </c>
      <c r="S1310" t="str">
        <f t="shared" si="7"/>
        <v>Phù hợp 1 phần</v>
      </c>
    </row>
    <row r="1311" spans="1:19" hidden="1" x14ac:dyDescent="0.3">
      <c r="A1311" t="s">
        <v>1138</v>
      </c>
      <c r="B1311" t="s">
        <v>1139</v>
      </c>
      <c r="C1311" t="s">
        <v>1079</v>
      </c>
      <c r="D1311">
        <v>17349</v>
      </c>
      <c r="E1311" t="s">
        <v>234</v>
      </c>
      <c r="F1311" t="s">
        <v>155</v>
      </c>
      <c r="G1311" t="s">
        <v>235</v>
      </c>
      <c r="H1311" t="s">
        <v>236</v>
      </c>
      <c r="I1311" t="s">
        <v>25</v>
      </c>
      <c r="J1311">
        <v>281</v>
      </c>
      <c r="K1311" t="s">
        <v>237</v>
      </c>
      <c r="N1311">
        <v>2</v>
      </c>
      <c r="O1311">
        <v>0.40300000000000002</v>
      </c>
      <c r="P1311" t="s">
        <v>38</v>
      </c>
      <c r="Q1311" s="1">
        <v>0</v>
      </c>
      <c r="R1311" t="s">
        <v>1272</v>
      </c>
      <c r="S1311" t="str">
        <f t="shared" si="7"/>
        <v>ko hợp</v>
      </c>
    </row>
    <row r="1312" spans="1:19" hidden="1" x14ac:dyDescent="0.3">
      <c r="A1312" t="s">
        <v>1138</v>
      </c>
      <c r="B1312" t="s">
        <v>1139</v>
      </c>
      <c r="C1312" t="s">
        <v>1079</v>
      </c>
      <c r="D1312">
        <v>20185</v>
      </c>
      <c r="E1312" t="s">
        <v>885</v>
      </c>
      <c r="F1312" t="s">
        <v>842</v>
      </c>
      <c r="G1312" t="s">
        <v>886</v>
      </c>
      <c r="H1312" t="s">
        <v>887</v>
      </c>
      <c r="I1312" t="s">
        <v>31</v>
      </c>
      <c r="J1312">
        <v>674</v>
      </c>
      <c r="K1312" t="s">
        <v>888</v>
      </c>
      <c r="L1312">
        <v>3</v>
      </c>
      <c r="M1312">
        <v>11.5062</v>
      </c>
      <c r="P1312" t="s">
        <v>33</v>
      </c>
      <c r="Q1312" s="1">
        <v>1</v>
      </c>
      <c r="R1312" t="s">
        <v>1272</v>
      </c>
      <c r="S1312" t="str">
        <f t="shared" si="7"/>
        <v>Phù hợp 1 phần</v>
      </c>
    </row>
    <row r="1313" spans="1:19" hidden="1" x14ac:dyDescent="0.3">
      <c r="A1313" t="s">
        <v>1138</v>
      </c>
      <c r="B1313" t="s">
        <v>1139</v>
      </c>
      <c r="C1313" t="s">
        <v>1079</v>
      </c>
      <c r="D1313">
        <v>20595</v>
      </c>
      <c r="E1313" t="s">
        <v>190</v>
      </c>
      <c r="F1313" t="s">
        <v>191</v>
      </c>
      <c r="G1313" t="s">
        <v>192</v>
      </c>
      <c r="H1313" t="s">
        <v>193</v>
      </c>
      <c r="I1313" t="s">
        <v>25</v>
      </c>
      <c r="J1313">
        <v>2941</v>
      </c>
      <c r="K1313" t="s">
        <v>194</v>
      </c>
      <c r="N1313">
        <v>3</v>
      </c>
      <c r="O1313">
        <v>0.38340000000000002</v>
      </c>
      <c r="P1313" t="s">
        <v>38</v>
      </c>
      <c r="Q1313" s="1">
        <v>1</v>
      </c>
      <c r="R1313" t="s">
        <v>1272</v>
      </c>
      <c r="S1313" t="str">
        <f t="shared" si="7"/>
        <v>Phù hợp 1 phần</v>
      </c>
    </row>
    <row r="1314" spans="1:19" hidden="1" x14ac:dyDescent="0.3">
      <c r="A1314" t="s">
        <v>1138</v>
      </c>
      <c r="B1314" t="s">
        <v>1139</v>
      </c>
      <c r="C1314" t="s">
        <v>1079</v>
      </c>
      <c r="D1314">
        <v>13222</v>
      </c>
      <c r="E1314" t="s">
        <v>1140</v>
      </c>
      <c r="F1314" t="s">
        <v>155</v>
      </c>
      <c r="G1314" t="s">
        <v>1141</v>
      </c>
      <c r="H1314" t="s">
        <v>1142</v>
      </c>
      <c r="I1314" t="s">
        <v>31</v>
      </c>
      <c r="J1314">
        <v>167</v>
      </c>
      <c r="K1314" t="s">
        <v>1143</v>
      </c>
      <c r="N1314">
        <v>4</v>
      </c>
      <c r="O1314">
        <v>0.38009999999999999</v>
      </c>
      <c r="P1314" t="s">
        <v>38</v>
      </c>
      <c r="Q1314" s="1">
        <v>0</v>
      </c>
      <c r="R1314" t="s">
        <v>1272</v>
      </c>
      <c r="S1314" t="str">
        <f t="shared" si="7"/>
        <v>ko hợp</v>
      </c>
    </row>
    <row r="1315" spans="1:19" hidden="1" x14ac:dyDescent="0.3">
      <c r="A1315" t="s">
        <v>1138</v>
      </c>
      <c r="B1315" t="s">
        <v>1139</v>
      </c>
      <c r="C1315" t="s">
        <v>1079</v>
      </c>
      <c r="D1315">
        <v>15839</v>
      </c>
      <c r="E1315" t="s">
        <v>154</v>
      </c>
      <c r="F1315" t="s">
        <v>155</v>
      </c>
      <c r="G1315" t="s">
        <v>156</v>
      </c>
      <c r="H1315" t="s">
        <v>157</v>
      </c>
      <c r="I1315" t="s">
        <v>25</v>
      </c>
      <c r="J1315">
        <v>298</v>
      </c>
      <c r="K1315" t="s">
        <v>158</v>
      </c>
      <c r="L1315">
        <v>4</v>
      </c>
      <c r="M1315">
        <v>11.1014</v>
      </c>
      <c r="P1315" t="s">
        <v>33</v>
      </c>
      <c r="Q1315" s="1">
        <v>0</v>
      </c>
      <c r="R1315" t="s">
        <v>1272</v>
      </c>
      <c r="S1315" t="str">
        <f t="shared" si="7"/>
        <v>ko hợp</v>
      </c>
    </row>
    <row r="1316" spans="1:19" hidden="1" x14ac:dyDescent="0.3">
      <c r="A1316" t="s">
        <v>1138</v>
      </c>
      <c r="B1316" t="s">
        <v>1139</v>
      </c>
      <c r="C1316" t="s">
        <v>1079</v>
      </c>
      <c r="D1316">
        <v>19019</v>
      </c>
      <c r="E1316" t="s">
        <v>296</v>
      </c>
      <c r="F1316" t="s">
        <v>297</v>
      </c>
      <c r="G1316" t="s">
        <v>298</v>
      </c>
      <c r="H1316" t="s">
        <v>299</v>
      </c>
      <c r="I1316" t="s">
        <v>25</v>
      </c>
      <c r="J1316">
        <v>999</v>
      </c>
      <c r="K1316" t="s">
        <v>300</v>
      </c>
      <c r="L1316">
        <v>7</v>
      </c>
      <c r="M1316">
        <v>9.9435000000000002</v>
      </c>
      <c r="N1316">
        <v>5</v>
      </c>
      <c r="O1316">
        <v>0.37440000000000001</v>
      </c>
      <c r="P1316" t="s">
        <v>27</v>
      </c>
      <c r="Q1316" s="1">
        <v>0</v>
      </c>
      <c r="R1316" t="s">
        <v>1272</v>
      </c>
      <c r="S1316" t="str">
        <f t="shared" si="7"/>
        <v>ko hợp</v>
      </c>
    </row>
    <row r="1317" spans="1:19" hidden="1" x14ac:dyDescent="0.3">
      <c r="A1317" t="s">
        <v>1138</v>
      </c>
      <c r="B1317" t="s">
        <v>1139</v>
      </c>
      <c r="C1317" t="s">
        <v>1079</v>
      </c>
      <c r="D1317">
        <v>19299</v>
      </c>
      <c r="E1317" t="s">
        <v>1080</v>
      </c>
      <c r="F1317" t="s">
        <v>1081</v>
      </c>
      <c r="G1317" t="s">
        <v>1082</v>
      </c>
      <c r="H1317" t="s">
        <v>1083</v>
      </c>
      <c r="I1317" t="s">
        <v>31</v>
      </c>
      <c r="J1317">
        <v>439</v>
      </c>
      <c r="K1317" t="s">
        <v>1084</v>
      </c>
      <c r="L1317">
        <v>5</v>
      </c>
      <c r="M1317">
        <v>11.0168</v>
      </c>
      <c r="P1317" t="s">
        <v>33</v>
      </c>
      <c r="Q1317" s="1">
        <v>0</v>
      </c>
      <c r="R1317" t="s">
        <v>1272</v>
      </c>
      <c r="S1317" t="str">
        <f t="shared" si="7"/>
        <v>ko hợp</v>
      </c>
    </row>
    <row r="1318" spans="1:19" hidden="1" x14ac:dyDescent="0.3">
      <c r="A1318" t="s">
        <v>1138</v>
      </c>
      <c r="B1318" t="s">
        <v>1139</v>
      </c>
      <c r="C1318" t="s">
        <v>1079</v>
      </c>
      <c r="D1318">
        <v>17762</v>
      </c>
      <c r="E1318" t="s">
        <v>441</v>
      </c>
      <c r="F1318" t="s">
        <v>425</v>
      </c>
      <c r="G1318" t="s">
        <v>442</v>
      </c>
      <c r="H1318" t="s">
        <v>443</v>
      </c>
      <c r="I1318" t="s">
        <v>31</v>
      </c>
      <c r="J1318">
        <v>1580</v>
      </c>
      <c r="K1318" t="s">
        <v>444</v>
      </c>
      <c r="N1318">
        <v>6</v>
      </c>
      <c r="O1318">
        <v>0.37290000000000001</v>
      </c>
      <c r="P1318" t="s">
        <v>38</v>
      </c>
      <c r="Q1318" s="1">
        <v>0</v>
      </c>
      <c r="R1318" t="s">
        <v>1272</v>
      </c>
      <c r="S1318" t="str">
        <f t="shared" si="7"/>
        <v>ko hợp</v>
      </c>
    </row>
    <row r="1319" spans="1:19" hidden="1" x14ac:dyDescent="0.3">
      <c r="A1319" t="s">
        <v>1138</v>
      </c>
      <c r="B1319" t="s">
        <v>1139</v>
      </c>
      <c r="C1319" t="s">
        <v>1079</v>
      </c>
      <c r="D1319">
        <v>19433</v>
      </c>
      <c r="E1319" t="s">
        <v>532</v>
      </c>
      <c r="F1319" t="s">
        <v>60</v>
      </c>
      <c r="G1319" t="s">
        <v>533</v>
      </c>
      <c r="H1319" t="s">
        <v>534</v>
      </c>
      <c r="I1319" t="s">
        <v>31</v>
      </c>
      <c r="J1319">
        <v>262</v>
      </c>
      <c r="K1319" t="s">
        <v>535</v>
      </c>
      <c r="L1319">
        <v>6</v>
      </c>
      <c r="M1319">
        <v>10.2441</v>
      </c>
      <c r="P1319" t="s">
        <v>33</v>
      </c>
      <c r="Q1319" s="1">
        <v>0</v>
      </c>
      <c r="R1319" t="s">
        <v>1272</v>
      </c>
      <c r="S1319" t="str">
        <f t="shared" si="7"/>
        <v>ko hợp</v>
      </c>
    </row>
    <row r="1320" spans="1:19" hidden="1" x14ac:dyDescent="0.3">
      <c r="A1320" t="s">
        <v>1138</v>
      </c>
      <c r="B1320" t="s">
        <v>1139</v>
      </c>
      <c r="C1320" t="s">
        <v>1079</v>
      </c>
      <c r="D1320">
        <v>18703</v>
      </c>
      <c r="E1320" t="s">
        <v>116</v>
      </c>
      <c r="F1320" t="s">
        <v>117</v>
      </c>
      <c r="G1320" t="s">
        <v>118</v>
      </c>
      <c r="H1320" t="s">
        <v>119</v>
      </c>
      <c r="I1320" t="s">
        <v>31</v>
      </c>
      <c r="J1320">
        <v>303</v>
      </c>
      <c r="K1320" t="s">
        <v>120</v>
      </c>
      <c r="N1320">
        <v>7</v>
      </c>
      <c r="O1320">
        <v>0.36880000000000002</v>
      </c>
      <c r="P1320" t="s">
        <v>38</v>
      </c>
      <c r="Q1320" s="1">
        <v>0</v>
      </c>
      <c r="R1320" t="s">
        <v>1272</v>
      </c>
      <c r="S1320" t="str">
        <f t="shared" si="7"/>
        <v>ko hợp</v>
      </c>
    </row>
    <row r="1321" spans="1:19" hidden="1" x14ac:dyDescent="0.3">
      <c r="A1321" t="s">
        <v>1138</v>
      </c>
      <c r="B1321" t="s">
        <v>1139</v>
      </c>
      <c r="C1321" t="s">
        <v>1079</v>
      </c>
      <c r="D1321">
        <v>11242</v>
      </c>
      <c r="E1321" t="s">
        <v>1089</v>
      </c>
      <c r="F1321" t="s">
        <v>74</v>
      </c>
      <c r="G1321" t="s">
        <v>1090</v>
      </c>
      <c r="H1321" t="s">
        <v>1091</v>
      </c>
      <c r="I1321" t="s">
        <v>25</v>
      </c>
      <c r="J1321">
        <v>2655</v>
      </c>
      <c r="K1321" t="s">
        <v>1092</v>
      </c>
      <c r="N1321">
        <v>8</v>
      </c>
      <c r="O1321">
        <v>0.36840000000000001</v>
      </c>
      <c r="P1321" t="s">
        <v>38</v>
      </c>
      <c r="Q1321" s="1">
        <v>0</v>
      </c>
      <c r="R1321" t="s">
        <v>1272</v>
      </c>
      <c r="S1321" t="str">
        <f t="shared" si="7"/>
        <v>ko hợp</v>
      </c>
    </row>
    <row r="1322" spans="1:19" hidden="1" x14ac:dyDescent="0.3">
      <c r="A1322" t="s">
        <v>1138</v>
      </c>
      <c r="B1322" t="s">
        <v>1139</v>
      </c>
      <c r="C1322" t="s">
        <v>1079</v>
      </c>
      <c r="D1322">
        <v>19282</v>
      </c>
      <c r="E1322" t="s">
        <v>244</v>
      </c>
      <c r="F1322" t="s">
        <v>245</v>
      </c>
      <c r="G1322" t="s">
        <v>246</v>
      </c>
      <c r="H1322" t="s">
        <v>247</v>
      </c>
      <c r="I1322" t="s">
        <v>25</v>
      </c>
      <c r="J1322">
        <v>814</v>
      </c>
      <c r="K1322" t="s">
        <v>248</v>
      </c>
      <c r="L1322">
        <v>8</v>
      </c>
      <c r="M1322">
        <v>9.8865999999999996</v>
      </c>
      <c r="P1322" t="s">
        <v>33</v>
      </c>
      <c r="Q1322" s="1">
        <v>0</v>
      </c>
      <c r="R1322" t="s">
        <v>1272</v>
      </c>
      <c r="S1322" t="str">
        <f t="shared" si="7"/>
        <v>ko hợp</v>
      </c>
    </row>
    <row r="1323" spans="1:19" hidden="1" x14ac:dyDescent="0.3">
      <c r="A1323" t="s">
        <v>1138</v>
      </c>
      <c r="B1323" t="s">
        <v>1139</v>
      </c>
      <c r="C1323" t="s">
        <v>1079</v>
      </c>
      <c r="D1323">
        <v>16144</v>
      </c>
      <c r="E1323" t="s">
        <v>1006</v>
      </c>
      <c r="F1323" t="s">
        <v>155</v>
      </c>
      <c r="G1323" t="s">
        <v>1007</v>
      </c>
      <c r="H1323" t="s">
        <v>1008</v>
      </c>
      <c r="I1323" t="s">
        <v>25</v>
      </c>
      <c r="J1323">
        <v>555</v>
      </c>
      <c r="K1323" t="s">
        <v>1009</v>
      </c>
      <c r="N1323">
        <v>9</v>
      </c>
      <c r="O1323">
        <v>0.3679</v>
      </c>
      <c r="P1323" t="s">
        <v>38</v>
      </c>
      <c r="Q1323" s="1">
        <v>0</v>
      </c>
      <c r="R1323" t="s">
        <v>1272</v>
      </c>
      <c r="S1323" t="str">
        <f t="shared" si="7"/>
        <v>ko hợp</v>
      </c>
    </row>
    <row r="1324" spans="1:19" hidden="1" x14ac:dyDescent="0.3">
      <c r="A1324" t="s">
        <v>1138</v>
      </c>
      <c r="B1324" t="s">
        <v>1139</v>
      </c>
      <c r="C1324" t="s">
        <v>1079</v>
      </c>
      <c r="D1324">
        <v>19676</v>
      </c>
      <c r="E1324" t="s">
        <v>544</v>
      </c>
      <c r="F1324" t="s">
        <v>545</v>
      </c>
      <c r="G1324" t="s">
        <v>41</v>
      </c>
      <c r="H1324" t="s">
        <v>546</v>
      </c>
      <c r="I1324" t="s">
        <v>25</v>
      </c>
      <c r="J1324">
        <v>907</v>
      </c>
      <c r="K1324" t="s">
        <v>547</v>
      </c>
      <c r="L1324">
        <v>9</v>
      </c>
      <c r="M1324">
        <v>9.7681000000000004</v>
      </c>
      <c r="P1324" t="s">
        <v>33</v>
      </c>
      <c r="Q1324" s="1">
        <v>0</v>
      </c>
      <c r="R1324" t="s">
        <v>1272</v>
      </c>
      <c r="S1324" t="str">
        <f t="shared" si="7"/>
        <v>ko hợp</v>
      </c>
    </row>
    <row r="1325" spans="1:19" hidden="1" x14ac:dyDescent="0.3">
      <c r="A1325" t="s">
        <v>1138</v>
      </c>
      <c r="B1325" t="s">
        <v>1139</v>
      </c>
      <c r="C1325" t="s">
        <v>1079</v>
      </c>
      <c r="D1325">
        <v>13514</v>
      </c>
      <c r="E1325" t="s">
        <v>64</v>
      </c>
      <c r="F1325" t="s">
        <v>60</v>
      </c>
      <c r="G1325" t="s">
        <v>65</v>
      </c>
      <c r="H1325" t="s">
        <v>66</v>
      </c>
      <c r="I1325" t="s">
        <v>31</v>
      </c>
      <c r="J1325">
        <v>587</v>
      </c>
      <c r="K1325" t="s">
        <v>67</v>
      </c>
      <c r="N1325">
        <v>10</v>
      </c>
      <c r="O1325">
        <v>0.36749999999999999</v>
      </c>
      <c r="P1325" t="s">
        <v>38</v>
      </c>
      <c r="Q1325" s="1">
        <v>0</v>
      </c>
      <c r="R1325" t="s">
        <v>1272</v>
      </c>
      <c r="S1325" t="str">
        <f t="shared" si="7"/>
        <v>ko hợp</v>
      </c>
    </row>
    <row r="1326" spans="1:19" hidden="1" x14ac:dyDescent="0.3">
      <c r="A1326" t="s">
        <v>1138</v>
      </c>
      <c r="B1326" t="s">
        <v>1139</v>
      </c>
      <c r="C1326" t="s">
        <v>1079</v>
      </c>
      <c r="D1326">
        <v>19509</v>
      </c>
      <c r="E1326" t="s">
        <v>876</v>
      </c>
      <c r="F1326" t="s">
        <v>155</v>
      </c>
      <c r="G1326" t="s">
        <v>877</v>
      </c>
      <c r="H1326" t="s">
        <v>878</v>
      </c>
      <c r="I1326" t="s">
        <v>31</v>
      </c>
      <c r="J1326">
        <v>201</v>
      </c>
      <c r="K1326" t="s">
        <v>879</v>
      </c>
      <c r="L1326">
        <v>10</v>
      </c>
      <c r="M1326">
        <v>9.6411999999999995</v>
      </c>
      <c r="P1326" t="s">
        <v>33</v>
      </c>
      <c r="Q1326" s="1">
        <v>0</v>
      </c>
      <c r="R1326" t="s">
        <v>1272</v>
      </c>
      <c r="S1326" t="str">
        <f t="shared" si="7"/>
        <v>ko hợp</v>
      </c>
    </row>
    <row r="1327" spans="1:19" hidden="1" x14ac:dyDescent="0.3">
      <c r="A1327" t="s">
        <v>1144</v>
      </c>
      <c r="B1327" t="s">
        <v>1145</v>
      </c>
      <c r="C1327" t="s">
        <v>1079</v>
      </c>
      <c r="D1327">
        <v>15093</v>
      </c>
      <c r="E1327" t="s">
        <v>452</v>
      </c>
      <c r="F1327" t="s">
        <v>60</v>
      </c>
      <c r="G1327" t="s">
        <v>453</v>
      </c>
      <c r="H1327" t="s">
        <v>454</v>
      </c>
      <c r="I1327" t="s">
        <v>31</v>
      </c>
      <c r="J1327">
        <v>892</v>
      </c>
      <c r="K1327" t="s">
        <v>455</v>
      </c>
      <c r="N1327">
        <v>1</v>
      </c>
      <c r="O1327">
        <v>0.4637</v>
      </c>
      <c r="P1327" t="s">
        <v>38</v>
      </c>
      <c r="Q1327" s="1">
        <v>2</v>
      </c>
      <c r="R1327" t="s">
        <v>1272</v>
      </c>
      <c r="S1327" t="str">
        <f t="shared" si="7"/>
        <v>ok</v>
      </c>
    </row>
    <row r="1328" spans="1:19" hidden="1" x14ac:dyDescent="0.3">
      <c r="A1328" t="s">
        <v>1144</v>
      </c>
      <c r="B1328" t="s">
        <v>1145</v>
      </c>
      <c r="C1328" t="s">
        <v>1079</v>
      </c>
      <c r="D1328">
        <v>20735</v>
      </c>
      <c r="E1328" t="s">
        <v>448</v>
      </c>
      <c r="F1328" t="s">
        <v>449</v>
      </c>
      <c r="G1328" t="s">
        <v>41</v>
      </c>
      <c r="H1328" t="s">
        <v>450</v>
      </c>
      <c r="I1328" t="s">
        <v>25</v>
      </c>
      <c r="J1328">
        <v>750</v>
      </c>
      <c r="K1328" t="s">
        <v>451</v>
      </c>
      <c r="L1328">
        <v>1</v>
      </c>
      <c r="M1328">
        <v>14.945399999999999</v>
      </c>
      <c r="P1328" t="s">
        <v>33</v>
      </c>
      <c r="Q1328" s="1">
        <v>0</v>
      </c>
      <c r="R1328" t="s">
        <v>1272</v>
      </c>
      <c r="S1328" t="str">
        <f t="shared" si="7"/>
        <v>ko hợp</v>
      </c>
    </row>
    <row r="1329" spans="1:19" hidden="1" x14ac:dyDescent="0.3">
      <c r="A1329" t="s">
        <v>1144</v>
      </c>
      <c r="B1329" t="s">
        <v>1145</v>
      </c>
      <c r="C1329" t="s">
        <v>1079</v>
      </c>
      <c r="D1329">
        <v>13514</v>
      </c>
      <c r="E1329" t="s">
        <v>64</v>
      </c>
      <c r="F1329" t="s">
        <v>60</v>
      </c>
      <c r="G1329" t="s">
        <v>65</v>
      </c>
      <c r="H1329" t="s">
        <v>66</v>
      </c>
      <c r="I1329" t="s">
        <v>31</v>
      </c>
      <c r="J1329">
        <v>587</v>
      </c>
      <c r="K1329" t="s">
        <v>67</v>
      </c>
      <c r="L1329">
        <v>2</v>
      </c>
      <c r="M1329">
        <v>14.7134</v>
      </c>
      <c r="N1329">
        <v>7</v>
      </c>
      <c r="O1329">
        <v>0.42759999999999998</v>
      </c>
      <c r="P1329" t="s">
        <v>27</v>
      </c>
      <c r="Q1329" s="1">
        <v>2</v>
      </c>
      <c r="R1329" t="s">
        <v>1272</v>
      </c>
      <c r="S1329" t="str">
        <f t="shared" si="7"/>
        <v>ok</v>
      </c>
    </row>
    <row r="1330" spans="1:19" hidden="1" x14ac:dyDescent="0.3">
      <c r="A1330" t="s">
        <v>1144</v>
      </c>
      <c r="B1330" t="s">
        <v>1145</v>
      </c>
      <c r="C1330" t="s">
        <v>1079</v>
      </c>
      <c r="D1330">
        <v>20353</v>
      </c>
      <c r="E1330" t="s">
        <v>164</v>
      </c>
      <c r="F1330" t="s">
        <v>165</v>
      </c>
      <c r="G1330" t="s">
        <v>41</v>
      </c>
      <c r="H1330" t="s">
        <v>166</v>
      </c>
      <c r="I1330" t="s">
        <v>31</v>
      </c>
      <c r="J1330">
        <v>899</v>
      </c>
      <c r="K1330" t="s">
        <v>167</v>
      </c>
      <c r="L1330">
        <v>6</v>
      </c>
      <c r="M1330">
        <v>12.351100000000001</v>
      </c>
      <c r="N1330">
        <v>2</v>
      </c>
      <c r="O1330">
        <v>0.44429999999999997</v>
      </c>
      <c r="P1330" t="s">
        <v>27</v>
      </c>
      <c r="Q1330" s="1">
        <v>0</v>
      </c>
      <c r="R1330" t="s">
        <v>1272</v>
      </c>
      <c r="S1330" t="str">
        <f t="shared" si="7"/>
        <v>ko hợp</v>
      </c>
    </row>
    <row r="1331" spans="1:19" hidden="1" x14ac:dyDescent="0.3">
      <c r="A1331" t="s">
        <v>1144</v>
      </c>
      <c r="B1331" t="s">
        <v>1145</v>
      </c>
      <c r="C1331" t="s">
        <v>1079</v>
      </c>
      <c r="D1331">
        <v>10623</v>
      </c>
      <c r="E1331" t="s">
        <v>817</v>
      </c>
      <c r="F1331" t="s">
        <v>74</v>
      </c>
      <c r="G1331" t="s">
        <v>818</v>
      </c>
      <c r="H1331" t="s">
        <v>819</v>
      </c>
      <c r="I1331" t="s">
        <v>25</v>
      </c>
      <c r="J1331">
        <v>578</v>
      </c>
      <c r="K1331" t="s">
        <v>820</v>
      </c>
      <c r="N1331">
        <v>3</v>
      </c>
      <c r="O1331">
        <v>0.44069999999999998</v>
      </c>
      <c r="P1331" t="s">
        <v>38</v>
      </c>
      <c r="Q1331" s="1">
        <v>0</v>
      </c>
      <c r="R1331" t="s">
        <v>1272</v>
      </c>
      <c r="S1331" t="str">
        <f t="shared" si="7"/>
        <v>ko hợp</v>
      </c>
    </row>
    <row r="1332" spans="1:19" hidden="1" x14ac:dyDescent="0.3">
      <c r="A1332" t="s">
        <v>1144</v>
      </c>
      <c r="B1332" t="s">
        <v>1145</v>
      </c>
      <c r="C1332" t="s">
        <v>1079</v>
      </c>
      <c r="D1332">
        <v>15905</v>
      </c>
      <c r="E1332" t="s">
        <v>262</v>
      </c>
      <c r="F1332" t="s">
        <v>60</v>
      </c>
      <c r="G1332" t="s">
        <v>263</v>
      </c>
      <c r="H1332" t="s">
        <v>264</v>
      </c>
      <c r="I1332" t="s">
        <v>31</v>
      </c>
      <c r="J1332">
        <v>772</v>
      </c>
      <c r="K1332" t="s">
        <v>265</v>
      </c>
      <c r="L1332">
        <v>3</v>
      </c>
      <c r="M1332">
        <v>14.1912</v>
      </c>
      <c r="P1332" t="s">
        <v>33</v>
      </c>
      <c r="Q1332" s="1">
        <v>0</v>
      </c>
      <c r="R1332" t="s">
        <v>1272</v>
      </c>
      <c r="S1332" t="str">
        <f t="shared" si="7"/>
        <v>ko hợp</v>
      </c>
    </row>
    <row r="1333" spans="1:19" hidden="1" x14ac:dyDescent="0.3">
      <c r="A1333" t="s">
        <v>1144</v>
      </c>
      <c r="B1333" t="s">
        <v>1145</v>
      </c>
      <c r="C1333" t="s">
        <v>1079</v>
      </c>
      <c r="D1333">
        <v>447</v>
      </c>
      <c r="E1333" t="s">
        <v>813</v>
      </c>
      <c r="F1333" t="s">
        <v>22</v>
      </c>
      <c r="G1333" t="s">
        <v>814</v>
      </c>
      <c r="H1333" t="s">
        <v>815</v>
      </c>
      <c r="I1333" t="s">
        <v>25</v>
      </c>
      <c r="J1333">
        <v>806</v>
      </c>
      <c r="K1333" t="s">
        <v>816</v>
      </c>
      <c r="L1333">
        <v>4</v>
      </c>
      <c r="M1333">
        <v>13.2417</v>
      </c>
      <c r="P1333" t="s">
        <v>33</v>
      </c>
      <c r="Q1333" s="1">
        <v>2</v>
      </c>
      <c r="R1333" t="s">
        <v>1272</v>
      </c>
      <c r="S1333" t="str">
        <f t="shared" si="7"/>
        <v>ok</v>
      </c>
    </row>
    <row r="1334" spans="1:19" hidden="1" x14ac:dyDescent="0.3">
      <c r="A1334" t="s">
        <v>1144</v>
      </c>
      <c r="B1334" t="s">
        <v>1145</v>
      </c>
      <c r="C1334" t="s">
        <v>1079</v>
      </c>
      <c r="D1334">
        <v>17762</v>
      </c>
      <c r="E1334" t="s">
        <v>441</v>
      </c>
      <c r="F1334" t="s">
        <v>425</v>
      </c>
      <c r="G1334" t="s">
        <v>442</v>
      </c>
      <c r="H1334" t="s">
        <v>443</v>
      </c>
      <c r="I1334" t="s">
        <v>31</v>
      </c>
      <c r="J1334">
        <v>1580</v>
      </c>
      <c r="K1334" t="s">
        <v>444</v>
      </c>
      <c r="N1334">
        <v>4</v>
      </c>
      <c r="O1334">
        <v>0.43959999999999999</v>
      </c>
      <c r="P1334" t="s">
        <v>38</v>
      </c>
      <c r="Q1334" s="1">
        <v>0</v>
      </c>
      <c r="R1334" t="s">
        <v>1272</v>
      </c>
      <c r="S1334" t="str">
        <f t="shared" si="7"/>
        <v>ko hợp</v>
      </c>
    </row>
    <row r="1335" spans="1:19" hidden="1" x14ac:dyDescent="0.3">
      <c r="A1335" t="s">
        <v>1144</v>
      </c>
      <c r="B1335" t="s">
        <v>1145</v>
      </c>
      <c r="C1335" t="s">
        <v>1079</v>
      </c>
      <c r="D1335">
        <v>13183</v>
      </c>
      <c r="E1335" t="s">
        <v>777</v>
      </c>
      <c r="F1335" t="s">
        <v>60</v>
      </c>
      <c r="G1335" t="s">
        <v>778</v>
      </c>
      <c r="H1335" t="s">
        <v>779</v>
      </c>
      <c r="I1335" t="s">
        <v>31</v>
      </c>
      <c r="J1335">
        <v>1373</v>
      </c>
      <c r="K1335" t="s">
        <v>780</v>
      </c>
      <c r="L1335">
        <v>5</v>
      </c>
      <c r="M1335">
        <v>12.7912</v>
      </c>
      <c r="N1335">
        <v>10</v>
      </c>
      <c r="O1335">
        <v>0.4138</v>
      </c>
      <c r="P1335" t="s">
        <v>27</v>
      </c>
      <c r="Q1335" s="1">
        <v>2</v>
      </c>
      <c r="R1335" t="s">
        <v>1272</v>
      </c>
      <c r="S1335" t="str">
        <f t="shared" si="7"/>
        <v>ok</v>
      </c>
    </row>
    <row r="1336" spans="1:19" hidden="1" x14ac:dyDescent="0.3">
      <c r="A1336" t="s">
        <v>1144</v>
      </c>
      <c r="B1336" t="s">
        <v>1145</v>
      </c>
      <c r="C1336" t="s">
        <v>1079</v>
      </c>
      <c r="D1336">
        <v>13674</v>
      </c>
      <c r="E1336" t="s">
        <v>78</v>
      </c>
      <c r="F1336" t="s">
        <v>22</v>
      </c>
      <c r="G1336" t="s">
        <v>79</v>
      </c>
      <c r="H1336" t="s">
        <v>80</v>
      </c>
      <c r="I1336" t="s">
        <v>31</v>
      </c>
      <c r="J1336">
        <v>1127</v>
      </c>
      <c r="K1336" t="s">
        <v>81</v>
      </c>
      <c r="N1336">
        <v>5</v>
      </c>
      <c r="O1336">
        <v>0.43640000000000001</v>
      </c>
      <c r="P1336" t="s">
        <v>38</v>
      </c>
      <c r="Q1336" s="1">
        <v>2</v>
      </c>
      <c r="R1336" t="s">
        <v>1272</v>
      </c>
      <c r="S1336" t="str">
        <f t="shared" si="7"/>
        <v>ok</v>
      </c>
    </row>
    <row r="1337" spans="1:19" hidden="1" x14ac:dyDescent="0.3">
      <c r="A1337" t="s">
        <v>1144</v>
      </c>
      <c r="B1337" t="s">
        <v>1145</v>
      </c>
      <c r="C1337" t="s">
        <v>1079</v>
      </c>
      <c r="D1337">
        <v>18885</v>
      </c>
      <c r="E1337" t="s">
        <v>86</v>
      </c>
      <c r="F1337" t="s">
        <v>60</v>
      </c>
      <c r="G1337" t="s">
        <v>87</v>
      </c>
      <c r="H1337" t="s">
        <v>88</v>
      </c>
      <c r="I1337" t="s">
        <v>31</v>
      </c>
      <c r="J1337">
        <v>596</v>
      </c>
      <c r="K1337" t="s">
        <v>89</v>
      </c>
      <c r="N1337">
        <v>6</v>
      </c>
      <c r="O1337">
        <v>0.436</v>
      </c>
      <c r="P1337" t="s">
        <v>38</v>
      </c>
      <c r="Q1337" s="1">
        <v>0</v>
      </c>
      <c r="R1337" t="s">
        <v>1272</v>
      </c>
      <c r="S1337" t="str">
        <f t="shared" si="7"/>
        <v>ko hợp</v>
      </c>
    </row>
    <row r="1338" spans="1:19" hidden="1" x14ac:dyDescent="0.3">
      <c r="A1338" t="s">
        <v>1144</v>
      </c>
      <c r="B1338" t="s">
        <v>1145</v>
      </c>
      <c r="C1338" t="s">
        <v>1079</v>
      </c>
      <c r="D1338">
        <v>18583</v>
      </c>
      <c r="E1338" t="s">
        <v>344</v>
      </c>
      <c r="F1338" t="s">
        <v>345</v>
      </c>
      <c r="G1338" t="s">
        <v>346</v>
      </c>
      <c r="H1338" t="s">
        <v>347</v>
      </c>
      <c r="I1338" t="s">
        <v>25</v>
      </c>
      <c r="J1338">
        <v>2534</v>
      </c>
      <c r="K1338" t="s">
        <v>348</v>
      </c>
      <c r="L1338">
        <v>7</v>
      </c>
      <c r="M1338">
        <v>12.230600000000001</v>
      </c>
      <c r="P1338" t="s">
        <v>33</v>
      </c>
      <c r="Q1338" s="1">
        <v>2</v>
      </c>
      <c r="R1338" t="s">
        <v>1272</v>
      </c>
      <c r="S1338" t="str">
        <f t="shared" si="7"/>
        <v>ok</v>
      </c>
    </row>
    <row r="1339" spans="1:19" hidden="1" x14ac:dyDescent="0.3">
      <c r="A1339" t="s">
        <v>1144</v>
      </c>
      <c r="B1339" t="s">
        <v>1145</v>
      </c>
      <c r="C1339" t="s">
        <v>1079</v>
      </c>
      <c r="D1339">
        <v>14222</v>
      </c>
      <c r="E1339" t="s">
        <v>749</v>
      </c>
      <c r="F1339" t="s">
        <v>60</v>
      </c>
      <c r="G1339" t="s">
        <v>696</v>
      </c>
      <c r="H1339" t="s">
        <v>750</v>
      </c>
      <c r="I1339" t="s">
        <v>25</v>
      </c>
      <c r="J1339">
        <v>835</v>
      </c>
      <c r="K1339" t="s">
        <v>751</v>
      </c>
      <c r="N1339">
        <v>8</v>
      </c>
      <c r="O1339">
        <v>0.42559999999999998</v>
      </c>
      <c r="P1339" t="s">
        <v>38</v>
      </c>
      <c r="Q1339" s="1">
        <v>2</v>
      </c>
      <c r="R1339" t="s">
        <v>1272</v>
      </c>
      <c r="S1339" t="str">
        <f t="shared" si="7"/>
        <v>ok</v>
      </c>
    </row>
    <row r="1340" spans="1:19" hidden="1" x14ac:dyDescent="0.3">
      <c r="A1340" t="s">
        <v>1144</v>
      </c>
      <c r="B1340" t="s">
        <v>1145</v>
      </c>
      <c r="C1340" t="s">
        <v>1079</v>
      </c>
      <c r="D1340">
        <v>19376</v>
      </c>
      <c r="E1340" t="s">
        <v>600</v>
      </c>
      <c r="F1340" t="s">
        <v>449</v>
      </c>
      <c r="G1340" t="s">
        <v>601</v>
      </c>
      <c r="H1340" t="s">
        <v>602</v>
      </c>
      <c r="I1340" t="s">
        <v>25</v>
      </c>
      <c r="J1340">
        <v>1405</v>
      </c>
      <c r="K1340" t="s">
        <v>603</v>
      </c>
      <c r="L1340">
        <v>8</v>
      </c>
      <c r="M1340">
        <v>12.224</v>
      </c>
      <c r="P1340" t="s">
        <v>33</v>
      </c>
      <c r="Q1340" s="1">
        <v>2</v>
      </c>
      <c r="R1340" t="s">
        <v>1272</v>
      </c>
      <c r="S1340" t="str">
        <f t="shared" si="7"/>
        <v>ok</v>
      </c>
    </row>
    <row r="1341" spans="1:19" hidden="1" x14ac:dyDescent="0.3">
      <c r="A1341" t="s">
        <v>1144</v>
      </c>
      <c r="B1341" t="s">
        <v>1145</v>
      </c>
      <c r="C1341" t="s">
        <v>1079</v>
      </c>
      <c r="D1341">
        <v>2021</v>
      </c>
      <c r="E1341" t="s">
        <v>582</v>
      </c>
      <c r="F1341" t="s">
        <v>570</v>
      </c>
      <c r="G1341" t="s">
        <v>583</v>
      </c>
      <c r="H1341" t="s">
        <v>584</v>
      </c>
      <c r="I1341" t="s">
        <v>25</v>
      </c>
      <c r="J1341">
        <v>226</v>
      </c>
      <c r="K1341" t="s">
        <v>585</v>
      </c>
      <c r="N1341">
        <v>9</v>
      </c>
      <c r="O1341">
        <v>0.41899999999999998</v>
      </c>
      <c r="P1341" t="s">
        <v>38</v>
      </c>
      <c r="Q1341" s="1">
        <v>0</v>
      </c>
      <c r="R1341" t="s">
        <v>1272</v>
      </c>
      <c r="S1341" t="str">
        <f t="shared" si="7"/>
        <v>ko hợp</v>
      </c>
    </row>
    <row r="1342" spans="1:19" hidden="1" x14ac:dyDescent="0.3">
      <c r="A1342" t="s">
        <v>1144</v>
      </c>
      <c r="B1342" t="s">
        <v>1145</v>
      </c>
      <c r="C1342" t="s">
        <v>1079</v>
      </c>
      <c r="D1342">
        <v>16537</v>
      </c>
      <c r="E1342" t="s">
        <v>899</v>
      </c>
      <c r="F1342" t="s">
        <v>22</v>
      </c>
      <c r="G1342" t="s">
        <v>822</v>
      </c>
      <c r="H1342" t="s">
        <v>900</v>
      </c>
      <c r="I1342" t="s">
        <v>31</v>
      </c>
      <c r="J1342">
        <v>712</v>
      </c>
      <c r="K1342" t="s">
        <v>901</v>
      </c>
      <c r="L1342">
        <v>9</v>
      </c>
      <c r="M1342">
        <v>12.218999999999999</v>
      </c>
      <c r="P1342" t="s">
        <v>33</v>
      </c>
      <c r="Q1342" s="1">
        <v>2</v>
      </c>
      <c r="R1342" t="s">
        <v>1272</v>
      </c>
      <c r="S1342" t="str">
        <f t="shared" si="7"/>
        <v>ok</v>
      </c>
    </row>
    <row r="1343" spans="1:19" hidden="1" x14ac:dyDescent="0.3">
      <c r="A1343" t="s">
        <v>1144</v>
      </c>
      <c r="B1343" t="s">
        <v>1145</v>
      </c>
      <c r="C1343" t="s">
        <v>1079</v>
      </c>
      <c r="D1343">
        <v>19395</v>
      </c>
      <c r="E1343" t="s">
        <v>609</v>
      </c>
      <c r="F1343" t="s">
        <v>22</v>
      </c>
      <c r="G1343" t="s">
        <v>610</v>
      </c>
      <c r="H1343" t="s">
        <v>611</v>
      </c>
      <c r="I1343" t="s">
        <v>31</v>
      </c>
      <c r="J1343">
        <v>560</v>
      </c>
      <c r="K1343" t="s">
        <v>612</v>
      </c>
      <c r="L1343">
        <v>10</v>
      </c>
      <c r="M1343">
        <v>11.999000000000001</v>
      </c>
      <c r="P1343" t="s">
        <v>33</v>
      </c>
      <c r="Q1343" s="1">
        <v>2</v>
      </c>
      <c r="R1343" t="s">
        <v>1272</v>
      </c>
      <c r="S1343" t="str">
        <f t="shared" si="7"/>
        <v>ok</v>
      </c>
    </row>
    <row r="1344" spans="1:19" hidden="1" x14ac:dyDescent="0.3">
      <c r="A1344" t="s">
        <v>1146</v>
      </c>
      <c r="B1344" t="s">
        <v>1147</v>
      </c>
      <c r="C1344" t="s">
        <v>1079</v>
      </c>
      <c r="D1344">
        <v>171</v>
      </c>
      <c r="E1344" t="s">
        <v>102</v>
      </c>
      <c r="F1344" t="s">
        <v>103</v>
      </c>
      <c r="G1344" t="s">
        <v>104</v>
      </c>
      <c r="H1344" t="s">
        <v>105</v>
      </c>
      <c r="I1344" t="s">
        <v>31</v>
      </c>
      <c r="J1344">
        <v>474</v>
      </c>
      <c r="K1344" t="s">
        <v>106</v>
      </c>
      <c r="N1344">
        <v>1</v>
      </c>
      <c r="O1344">
        <v>0.4778</v>
      </c>
      <c r="P1344" t="s">
        <v>38</v>
      </c>
      <c r="Q1344" s="1">
        <v>0</v>
      </c>
      <c r="R1344" t="s">
        <v>1272</v>
      </c>
      <c r="S1344" t="str">
        <f t="shared" si="7"/>
        <v>ko hợp</v>
      </c>
    </row>
    <row r="1345" spans="1:19" hidden="1" x14ac:dyDescent="0.3">
      <c r="A1345" t="s">
        <v>1146</v>
      </c>
      <c r="B1345" t="s">
        <v>1147</v>
      </c>
      <c r="C1345" t="s">
        <v>1079</v>
      </c>
      <c r="D1345">
        <v>17792</v>
      </c>
      <c r="E1345" t="s">
        <v>229</v>
      </c>
      <c r="F1345" t="s">
        <v>230</v>
      </c>
      <c r="G1345" t="s">
        <v>231</v>
      </c>
      <c r="H1345" t="s">
        <v>232</v>
      </c>
      <c r="I1345" t="s">
        <v>31</v>
      </c>
      <c r="J1345">
        <v>564</v>
      </c>
      <c r="K1345" t="s">
        <v>233</v>
      </c>
      <c r="L1345">
        <v>1</v>
      </c>
      <c r="M1345">
        <v>18.282299999999999</v>
      </c>
      <c r="P1345" t="s">
        <v>33</v>
      </c>
      <c r="Q1345" s="1">
        <v>1</v>
      </c>
      <c r="R1345" t="s">
        <v>1272</v>
      </c>
      <c r="S1345" t="str">
        <f t="shared" si="7"/>
        <v>Phù hợp 1 phần</v>
      </c>
    </row>
    <row r="1346" spans="1:19" hidden="1" x14ac:dyDescent="0.3">
      <c r="A1346" t="s">
        <v>1146</v>
      </c>
      <c r="B1346" t="s">
        <v>1147</v>
      </c>
      <c r="C1346" t="s">
        <v>1079</v>
      </c>
      <c r="D1346">
        <v>11464</v>
      </c>
      <c r="E1346" t="s">
        <v>463</v>
      </c>
      <c r="F1346" t="s">
        <v>60</v>
      </c>
      <c r="G1346" t="s">
        <v>464</v>
      </c>
      <c r="H1346" t="s">
        <v>465</v>
      </c>
      <c r="I1346" t="s">
        <v>31</v>
      </c>
      <c r="J1346">
        <v>695</v>
      </c>
      <c r="K1346" t="s">
        <v>466</v>
      </c>
      <c r="N1346">
        <v>2</v>
      </c>
      <c r="O1346">
        <v>0.4672</v>
      </c>
      <c r="P1346" t="s">
        <v>38</v>
      </c>
      <c r="Q1346" s="1">
        <v>1</v>
      </c>
      <c r="R1346" t="s">
        <v>1272</v>
      </c>
      <c r="S1346" t="str">
        <f t="shared" si="7"/>
        <v>Phù hợp 1 phần</v>
      </c>
    </row>
    <row r="1347" spans="1:19" hidden="1" x14ac:dyDescent="0.3">
      <c r="A1347" t="s">
        <v>1146</v>
      </c>
      <c r="B1347" t="s">
        <v>1147</v>
      </c>
      <c r="C1347" t="s">
        <v>1079</v>
      </c>
      <c r="D1347">
        <v>20803</v>
      </c>
      <c r="E1347" t="s">
        <v>94</v>
      </c>
      <c r="F1347" t="s">
        <v>95</v>
      </c>
      <c r="G1347" t="s">
        <v>96</v>
      </c>
      <c r="H1347" t="s">
        <v>97</v>
      </c>
      <c r="I1347" t="s">
        <v>31</v>
      </c>
      <c r="J1347">
        <v>100</v>
      </c>
      <c r="K1347" t="s">
        <v>98</v>
      </c>
      <c r="L1347">
        <v>2</v>
      </c>
      <c r="M1347">
        <v>17.329999999999998</v>
      </c>
      <c r="N1347">
        <v>5</v>
      </c>
      <c r="O1347">
        <v>0.45610000000000001</v>
      </c>
      <c r="P1347" t="s">
        <v>27</v>
      </c>
      <c r="Q1347" s="1">
        <v>1</v>
      </c>
      <c r="R1347" t="s">
        <v>1272</v>
      </c>
      <c r="S1347" t="str">
        <f t="shared" si="7"/>
        <v>Phù hợp 1 phần</v>
      </c>
    </row>
    <row r="1348" spans="1:19" hidden="1" x14ac:dyDescent="0.3">
      <c r="A1348" t="s">
        <v>1146</v>
      </c>
      <c r="B1348" t="s">
        <v>1147</v>
      </c>
      <c r="C1348" t="s">
        <v>1079</v>
      </c>
      <c r="D1348">
        <v>11918</v>
      </c>
      <c r="E1348" t="s">
        <v>133</v>
      </c>
      <c r="F1348" t="s">
        <v>60</v>
      </c>
      <c r="G1348" t="s">
        <v>134</v>
      </c>
      <c r="H1348" t="s">
        <v>135</v>
      </c>
      <c r="I1348" t="s">
        <v>25</v>
      </c>
      <c r="J1348">
        <v>3604</v>
      </c>
      <c r="K1348" t="s">
        <v>136</v>
      </c>
      <c r="L1348">
        <v>3</v>
      </c>
      <c r="M1348">
        <v>17.207000000000001</v>
      </c>
      <c r="P1348" t="s">
        <v>33</v>
      </c>
      <c r="Q1348" s="1">
        <v>1</v>
      </c>
      <c r="R1348" t="s">
        <v>1272</v>
      </c>
      <c r="S1348" t="str">
        <f t="shared" si="7"/>
        <v>Phù hợp 1 phần</v>
      </c>
    </row>
    <row r="1349" spans="1:19" hidden="1" x14ac:dyDescent="0.3">
      <c r="A1349" t="s">
        <v>1146</v>
      </c>
      <c r="B1349" t="s">
        <v>1147</v>
      </c>
      <c r="C1349" t="s">
        <v>1079</v>
      </c>
      <c r="D1349">
        <v>12297</v>
      </c>
      <c r="E1349" t="s">
        <v>90</v>
      </c>
      <c r="F1349" t="s">
        <v>22</v>
      </c>
      <c r="G1349" t="s">
        <v>91</v>
      </c>
      <c r="H1349" t="s">
        <v>92</v>
      </c>
      <c r="I1349" t="s">
        <v>31</v>
      </c>
      <c r="J1349">
        <v>4056</v>
      </c>
      <c r="K1349" t="s">
        <v>93</v>
      </c>
      <c r="N1349">
        <v>3</v>
      </c>
      <c r="O1349">
        <v>0.46139999999999998</v>
      </c>
      <c r="P1349" t="s">
        <v>38</v>
      </c>
      <c r="Q1349" s="1">
        <v>1</v>
      </c>
      <c r="R1349" t="s">
        <v>1272</v>
      </c>
      <c r="S1349" t="str">
        <f t="shared" si="7"/>
        <v>Phù hợp 1 phần</v>
      </c>
    </row>
    <row r="1350" spans="1:19" hidden="1" x14ac:dyDescent="0.3">
      <c r="A1350" t="s">
        <v>1146</v>
      </c>
      <c r="B1350" t="s">
        <v>1147</v>
      </c>
      <c r="C1350" t="s">
        <v>1079</v>
      </c>
      <c r="D1350">
        <v>15905</v>
      </c>
      <c r="E1350" t="s">
        <v>262</v>
      </c>
      <c r="F1350" t="s">
        <v>60</v>
      </c>
      <c r="G1350" t="s">
        <v>263</v>
      </c>
      <c r="H1350" t="s">
        <v>264</v>
      </c>
      <c r="I1350" t="s">
        <v>31</v>
      </c>
      <c r="J1350">
        <v>772</v>
      </c>
      <c r="K1350" t="s">
        <v>265</v>
      </c>
      <c r="L1350">
        <v>4</v>
      </c>
      <c r="M1350">
        <v>14.5967</v>
      </c>
      <c r="P1350" t="s">
        <v>33</v>
      </c>
      <c r="Q1350" s="1">
        <v>1</v>
      </c>
      <c r="R1350" t="s">
        <v>1272</v>
      </c>
      <c r="S1350" t="str">
        <f t="shared" si="7"/>
        <v>Phù hợp 1 phần</v>
      </c>
    </row>
    <row r="1351" spans="1:19" hidden="1" x14ac:dyDescent="0.3">
      <c r="A1351" t="s">
        <v>1146</v>
      </c>
      <c r="B1351" t="s">
        <v>1147</v>
      </c>
      <c r="C1351" t="s">
        <v>1079</v>
      </c>
      <c r="D1351">
        <v>16537</v>
      </c>
      <c r="E1351" t="s">
        <v>899</v>
      </c>
      <c r="F1351" t="s">
        <v>22</v>
      </c>
      <c r="G1351" t="s">
        <v>822</v>
      </c>
      <c r="H1351" t="s">
        <v>900</v>
      </c>
      <c r="I1351" t="s">
        <v>31</v>
      </c>
      <c r="J1351">
        <v>712</v>
      </c>
      <c r="K1351" t="s">
        <v>901</v>
      </c>
      <c r="N1351">
        <v>4</v>
      </c>
      <c r="O1351">
        <v>0.4572</v>
      </c>
      <c r="P1351" t="s">
        <v>38</v>
      </c>
      <c r="Q1351" s="1">
        <v>2</v>
      </c>
      <c r="R1351" t="s">
        <v>1272</v>
      </c>
      <c r="S1351" t="str">
        <f t="shared" si="7"/>
        <v>ok</v>
      </c>
    </row>
    <row r="1352" spans="1:19" hidden="1" x14ac:dyDescent="0.3">
      <c r="A1352" t="s">
        <v>1146</v>
      </c>
      <c r="B1352" t="s">
        <v>1147</v>
      </c>
      <c r="C1352" t="s">
        <v>1079</v>
      </c>
      <c r="D1352">
        <v>16838</v>
      </c>
      <c r="E1352" t="s">
        <v>129</v>
      </c>
      <c r="F1352" t="s">
        <v>60</v>
      </c>
      <c r="G1352" t="s">
        <v>130</v>
      </c>
      <c r="H1352" t="s">
        <v>131</v>
      </c>
      <c r="I1352" t="s">
        <v>31</v>
      </c>
      <c r="J1352">
        <v>3435</v>
      </c>
      <c r="K1352" t="s">
        <v>132</v>
      </c>
      <c r="L1352">
        <v>5</v>
      </c>
      <c r="M1352">
        <v>13.7431</v>
      </c>
      <c r="P1352" t="s">
        <v>33</v>
      </c>
      <c r="Q1352" s="1">
        <v>1</v>
      </c>
      <c r="R1352" t="s">
        <v>1272</v>
      </c>
      <c r="S1352" t="str">
        <f t="shared" si="7"/>
        <v>Phù hợp 1 phần</v>
      </c>
    </row>
    <row r="1353" spans="1:19" hidden="1" x14ac:dyDescent="0.3">
      <c r="A1353" t="s">
        <v>1146</v>
      </c>
      <c r="B1353" t="s">
        <v>1147</v>
      </c>
      <c r="C1353" t="s">
        <v>1079</v>
      </c>
      <c r="D1353">
        <v>9821</v>
      </c>
      <c r="E1353" t="s">
        <v>21</v>
      </c>
      <c r="F1353" t="s">
        <v>22</v>
      </c>
      <c r="G1353" t="s">
        <v>23</v>
      </c>
      <c r="H1353" t="s">
        <v>24</v>
      </c>
      <c r="I1353" t="s">
        <v>25</v>
      </c>
      <c r="J1353">
        <v>998</v>
      </c>
      <c r="K1353" t="s">
        <v>26</v>
      </c>
      <c r="N1353">
        <v>6</v>
      </c>
      <c r="O1353">
        <v>0.45090000000000002</v>
      </c>
      <c r="P1353" t="s">
        <v>38</v>
      </c>
      <c r="Q1353" s="1">
        <v>1</v>
      </c>
      <c r="R1353" t="s">
        <v>1272</v>
      </c>
      <c r="S1353" t="str">
        <f t="shared" si="7"/>
        <v>Phù hợp 1 phần</v>
      </c>
    </row>
    <row r="1354" spans="1:19" hidden="1" x14ac:dyDescent="0.3">
      <c r="A1354" t="s">
        <v>1146</v>
      </c>
      <c r="B1354" t="s">
        <v>1147</v>
      </c>
      <c r="C1354" t="s">
        <v>1079</v>
      </c>
      <c r="D1354">
        <v>13561</v>
      </c>
      <c r="E1354" t="s">
        <v>832</v>
      </c>
      <c r="F1354" t="s">
        <v>60</v>
      </c>
      <c r="G1354" t="s">
        <v>833</v>
      </c>
      <c r="H1354" t="s">
        <v>834</v>
      </c>
      <c r="I1354" t="s">
        <v>31</v>
      </c>
      <c r="J1354">
        <v>498</v>
      </c>
      <c r="K1354" t="s">
        <v>835</v>
      </c>
      <c r="L1354">
        <v>6</v>
      </c>
      <c r="M1354">
        <v>13.0197</v>
      </c>
      <c r="P1354" t="s">
        <v>33</v>
      </c>
      <c r="Q1354" s="1">
        <v>1</v>
      </c>
      <c r="R1354" t="s">
        <v>1272</v>
      </c>
      <c r="S1354" t="str">
        <f t="shared" si="7"/>
        <v>Phù hợp 1 phần</v>
      </c>
    </row>
    <row r="1355" spans="1:19" hidden="1" x14ac:dyDescent="0.3">
      <c r="A1355" t="s">
        <v>1146</v>
      </c>
      <c r="B1355" t="s">
        <v>1147</v>
      </c>
      <c r="C1355" t="s">
        <v>1079</v>
      </c>
      <c r="D1355">
        <v>12188</v>
      </c>
      <c r="E1355" t="s">
        <v>680</v>
      </c>
      <c r="F1355" t="s">
        <v>668</v>
      </c>
      <c r="G1355" t="s">
        <v>681</v>
      </c>
      <c r="H1355" t="s">
        <v>682</v>
      </c>
      <c r="I1355" t="s">
        <v>31</v>
      </c>
      <c r="J1355">
        <v>637</v>
      </c>
      <c r="K1355" t="s">
        <v>683</v>
      </c>
      <c r="L1355">
        <v>7</v>
      </c>
      <c r="M1355">
        <v>12.989000000000001</v>
      </c>
      <c r="P1355" t="s">
        <v>33</v>
      </c>
      <c r="Q1355" s="1">
        <v>0</v>
      </c>
      <c r="R1355" t="s">
        <v>1272</v>
      </c>
      <c r="S1355" t="str">
        <f t="shared" si="7"/>
        <v>ko hợp</v>
      </c>
    </row>
    <row r="1356" spans="1:19" hidden="1" x14ac:dyDescent="0.3">
      <c r="A1356" t="s">
        <v>1146</v>
      </c>
      <c r="B1356" t="s">
        <v>1147</v>
      </c>
      <c r="C1356" t="s">
        <v>1079</v>
      </c>
      <c r="D1356">
        <v>20764</v>
      </c>
      <c r="E1356" t="s">
        <v>278</v>
      </c>
      <c r="F1356" t="s">
        <v>60</v>
      </c>
      <c r="G1356" t="s">
        <v>279</v>
      </c>
      <c r="H1356" t="s">
        <v>280</v>
      </c>
      <c r="I1356" t="s">
        <v>25</v>
      </c>
      <c r="J1356">
        <v>483</v>
      </c>
      <c r="K1356" t="s">
        <v>281</v>
      </c>
      <c r="N1356">
        <v>7</v>
      </c>
      <c r="O1356">
        <v>0.44450000000000001</v>
      </c>
      <c r="P1356" t="s">
        <v>38</v>
      </c>
      <c r="Q1356" s="1">
        <v>1</v>
      </c>
      <c r="R1356" t="s">
        <v>1272</v>
      </c>
      <c r="S1356" t="str">
        <f t="shared" si="7"/>
        <v>Phù hợp 1 phần</v>
      </c>
    </row>
    <row r="1357" spans="1:19" hidden="1" x14ac:dyDescent="0.3">
      <c r="A1357" t="s">
        <v>1146</v>
      </c>
      <c r="B1357" t="s">
        <v>1147</v>
      </c>
      <c r="C1357" t="s">
        <v>1079</v>
      </c>
      <c r="D1357">
        <v>12764</v>
      </c>
      <c r="E1357" t="s">
        <v>125</v>
      </c>
      <c r="F1357" t="s">
        <v>60</v>
      </c>
      <c r="G1357" t="s">
        <v>126</v>
      </c>
      <c r="H1357" t="s">
        <v>127</v>
      </c>
      <c r="I1357" t="s">
        <v>31</v>
      </c>
      <c r="J1357">
        <v>442</v>
      </c>
      <c r="K1357" t="s">
        <v>128</v>
      </c>
      <c r="L1357">
        <v>8</v>
      </c>
      <c r="M1357">
        <v>12.9755</v>
      </c>
      <c r="P1357" t="s">
        <v>33</v>
      </c>
      <c r="Q1357" s="1">
        <v>1</v>
      </c>
      <c r="R1357" t="s">
        <v>1272</v>
      </c>
      <c r="S1357" t="str">
        <f t="shared" ref="S1357:S1420" si="8">IF(Q1357=2,"ok",IF(Q1357=1,"Phù hợp 1 phần", "ko hợp"))</f>
        <v>Phù hợp 1 phần</v>
      </c>
    </row>
    <row r="1358" spans="1:19" hidden="1" x14ac:dyDescent="0.3">
      <c r="A1358" t="s">
        <v>1146</v>
      </c>
      <c r="B1358" t="s">
        <v>1147</v>
      </c>
      <c r="C1358" t="s">
        <v>1079</v>
      </c>
      <c r="D1358">
        <v>18457</v>
      </c>
      <c r="E1358" t="s">
        <v>986</v>
      </c>
      <c r="F1358" t="s">
        <v>987</v>
      </c>
      <c r="G1358" t="s">
        <v>988</v>
      </c>
      <c r="H1358" t="s">
        <v>989</v>
      </c>
      <c r="I1358" t="s">
        <v>31</v>
      </c>
      <c r="J1358">
        <v>3005</v>
      </c>
      <c r="K1358" t="s">
        <v>990</v>
      </c>
      <c r="N1358">
        <v>8</v>
      </c>
      <c r="O1358">
        <v>0.44429999999999997</v>
      </c>
      <c r="P1358" t="s">
        <v>38</v>
      </c>
      <c r="Q1358" s="1">
        <v>0</v>
      </c>
      <c r="R1358" t="s">
        <v>1272</v>
      </c>
      <c r="S1358" t="str">
        <f t="shared" si="8"/>
        <v>ko hợp</v>
      </c>
    </row>
    <row r="1359" spans="1:19" hidden="1" x14ac:dyDescent="0.3">
      <c r="A1359" t="s">
        <v>1146</v>
      </c>
      <c r="B1359" t="s">
        <v>1147</v>
      </c>
      <c r="C1359" t="s">
        <v>1079</v>
      </c>
      <c r="D1359">
        <v>12674</v>
      </c>
      <c r="E1359" t="s">
        <v>653</v>
      </c>
      <c r="F1359" t="s">
        <v>155</v>
      </c>
      <c r="G1359" t="s">
        <v>654</v>
      </c>
      <c r="H1359" t="s">
        <v>655</v>
      </c>
      <c r="I1359" t="s">
        <v>31</v>
      </c>
      <c r="J1359">
        <v>587</v>
      </c>
      <c r="K1359" t="s">
        <v>656</v>
      </c>
      <c r="L1359">
        <v>9</v>
      </c>
      <c r="M1359">
        <v>12.7316</v>
      </c>
      <c r="P1359" t="s">
        <v>33</v>
      </c>
      <c r="Q1359" s="1">
        <v>1</v>
      </c>
      <c r="R1359" t="s">
        <v>1272</v>
      </c>
      <c r="S1359" t="str">
        <f t="shared" si="8"/>
        <v>Phù hợp 1 phần</v>
      </c>
    </row>
    <row r="1360" spans="1:19" hidden="1" x14ac:dyDescent="0.3">
      <c r="A1360" t="s">
        <v>1146</v>
      </c>
      <c r="B1360" t="s">
        <v>1147</v>
      </c>
      <c r="C1360" t="s">
        <v>1079</v>
      </c>
      <c r="D1360">
        <v>12737</v>
      </c>
      <c r="E1360" t="s">
        <v>588</v>
      </c>
      <c r="F1360" t="s">
        <v>22</v>
      </c>
      <c r="G1360" t="s">
        <v>589</v>
      </c>
      <c r="H1360" t="s">
        <v>590</v>
      </c>
      <c r="I1360" t="s">
        <v>31</v>
      </c>
      <c r="J1360">
        <v>1553</v>
      </c>
      <c r="K1360" t="s">
        <v>591</v>
      </c>
      <c r="N1360">
        <v>9</v>
      </c>
      <c r="O1360">
        <v>0.44350000000000001</v>
      </c>
      <c r="P1360" t="s">
        <v>38</v>
      </c>
      <c r="Q1360" s="1">
        <v>1</v>
      </c>
      <c r="R1360" t="s">
        <v>1272</v>
      </c>
      <c r="S1360" t="str">
        <f t="shared" si="8"/>
        <v>Phù hợp 1 phần</v>
      </c>
    </row>
    <row r="1361" spans="1:19" hidden="1" x14ac:dyDescent="0.3">
      <c r="A1361" t="s">
        <v>1146</v>
      </c>
      <c r="B1361" t="s">
        <v>1147</v>
      </c>
      <c r="C1361" t="s">
        <v>1079</v>
      </c>
      <c r="D1361">
        <v>14684</v>
      </c>
      <c r="E1361" t="s">
        <v>847</v>
      </c>
      <c r="F1361" t="s">
        <v>60</v>
      </c>
      <c r="G1361" t="s">
        <v>61</v>
      </c>
      <c r="H1361" t="s">
        <v>848</v>
      </c>
      <c r="I1361" t="s">
        <v>25</v>
      </c>
      <c r="J1361">
        <v>1309</v>
      </c>
      <c r="K1361" t="s">
        <v>849</v>
      </c>
      <c r="N1361">
        <v>10</v>
      </c>
      <c r="O1361">
        <v>0.44219999999999998</v>
      </c>
      <c r="P1361" t="s">
        <v>38</v>
      </c>
      <c r="Q1361" s="1">
        <v>1</v>
      </c>
      <c r="R1361" t="s">
        <v>1272</v>
      </c>
      <c r="S1361" t="str">
        <f t="shared" si="8"/>
        <v>Phù hợp 1 phần</v>
      </c>
    </row>
    <row r="1362" spans="1:19" hidden="1" x14ac:dyDescent="0.3">
      <c r="A1362" t="s">
        <v>1146</v>
      </c>
      <c r="B1362" t="s">
        <v>1147</v>
      </c>
      <c r="C1362" t="s">
        <v>1079</v>
      </c>
      <c r="D1362">
        <v>15086</v>
      </c>
      <c r="E1362" t="s">
        <v>1148</v>
      </c>
      <c r="F1362" t="s">
        <v>74</v>
      </c>
      <c r="G1362" t="s">
        <v>275</v>
      </c>
      <c r="H1362" t="s">
        <v>1149</v>
      </c>
      <c r="I1362" t="s">
        <v>31</v>
      </c>
      <c r="J1362">
        <v>272</v>
      </c>
      <c r="K1362" t="s">
        <v>1150</v>
      </c>
      <c r="L1362">
        <v>10</v>
      </c>
      <c r="M1362">
        <v>12.272500000000001</v>
      </c>
      <c r="P1362" t="s">
        <v>33</v>
      </c>
      <c r="Q1362" s="1">
        <v>0</v>
      </c>
      <c r="R1362" t="s">
        <v>1272</v>
      </c>
      <c r="S1362" t="str">
        <f t="shared" si="8"/>
        <v>ko hợp</v>
      </c>
    </row>
    <row r="1363" spans="1:19" hidden="1" x14ac:dyDescent="0.3">
      <c r="A1363" t="s">
        <v>1151</v>
      </c>
      <c r="B1363" t="s">
        <v>1152</v>
      </c>
      <c r="C1363" t="s">
        <v>1079</v>
      </c>
      <c r="D1363">
        <v>13674</v>
      </c>
      <c r="E1363" t="s">
        <v>78</v>
      </c>
      <c r="F1363" t="s">
        <v>22</v>
      </c>
      <c r="G1363" t="s">
        <v>79</v>
      </c>
      <c r="H1363" t="s">
        <v>80</v>
      </c>
      <c r="I1363" t="s">
        <v>31</v>
      </c>
      <c r="J1363">
        <v>1127</v>
      </c>
      <c r="K1363" t="s">
        <v>81</v>
      </c>
      <c r="N1363">
        <v>1</v>
      </c>
      <c r="O1363">
        <v>0.44159999999999999</v>
      </c>
      <c r="P1363" t="s">
        <v>38</v>
      </c>
      <c r="Q1363" s="1">
        <v>0</v>
      </c>
      <c r="R1363" t="s">
        <v>1272</v>
      </c>
      <c r="S1363" t="str">
        <f t="shared" si="8"/>
        <v>ko hợp</v>
      </c>
    </row>
    <row r="1364" spans="1:19" hidden="1" x14ac:dyDescent="0.3">
      <c r="A1364" t="s">
        <v>1151</v>
      </c>
      <c r="B1364" t="s">
        <v>1152</v>
      </c>
      <c r="C1364" t="s">
        <v>1079</v>
      </c>
      <c r="D1364">
        <v>15905</v>
      </c>
      <c r="E1364" t="s">
        <v>262</v>
      </c>
      <c r="F1364" t="s">
        <v>60</v>
      </c>
      <c r="G1364" t="s">
        <v>263</v>
      </c>
      <c r="H1364" t="s">
        <v>264</v>
      </c>
      <c r="I1364" t="s">
        <v>31</v>
      </c>
      <c r="J1364">
        <v>772</v>
      </c>
      <c r="K1364" t="s">
        <v>265</v>
      </c>
      <c r="L1364">
        <v>1</v>
      </c>
      <c r="M1364">
        <v>18.1662</v>
      </c>
      <c r="P1364" t="s">
        <v>33</v>
      </c>
      <c r="Q1364" s="1">
        <v>2</v>
      </c>
      <c r="R1364" t="s">
        <v>1272</v>
      </c>
      <c r="S1364" t="str">
        <f t="shared" si="8"/>
        <v>ok</v>
      </c>
    </row>
    <row r="1365" spans="1:19" hidden="1" x14ac:dyDescent="0.3">
      <c r="A1365" t="s">
        <v>1151</v>
      </c>
      <c r="B1365" t="s">
        <v>1152</v>
      </c>
      <c r="C1365" t="s">
        <v>1079</v>
      </c>
      <c r="D1365">
        <v>9820</v>
      </c>
      <c r="E1365" t="s">
        <v>150</v>
      </c>
      <c r="F1365" t="s">
        <v>60</v>
      </c>
      <c r="G1365" t="s">
        <v>151</v>
      </c>
      <c r="H1365" t="s">
        <v>152</v>
      </c>
      <c r="I1365" t="s">
        <v>25</v>
      </c>
      <c r="J1365">
        <v>2512</v>
      </c>
      <c r="K1365" t="s">
        <v>153</v>
      </c>
      <c r="L1365">
        <v>2</v>
      </c>
      <c r="M1365">
        <v>15.8729</v>
      </c>
      <c r="P1365" t="s">
        <v>33</v>
      </c>
      <c r="Q1365" s="1">
        <v>0</v>
      </c>
      <c r="R1365" t="s">
        <v>1272</v>
      </c>
      <c r="S1365" t="str">
        <f t="shared" si="8"/>
        <v>ko hợp</v>
      </c>
    </row>
    <row r="1366" spans="1:19" hidden="1" x14ac:dyDescent="0.3">
      <c r="A1366" t="s">
        <v>1151</v>
      </c>
      <c r="B1366" t="s">
        <v>1152</v>
      </c>
      <c r="C1366" t="s">
        <v>1079</v>
      </c>
      <c r="D1366">
        <v>20353</v>
      </c>
      <c r="E1366" t="s">
        <v>164</v>
      </c>
      <c r="F1366" t="s">
        <v>165</v>
      </c>
      <c r="G1366" t="s">
        <v>41</v>
      </c>
      <c r="H1366" t="s">
        <v>166</v>
      </c>
      <c r="I1366" t="s">
        <v>31</v>
      </c>
      <c r="J1366">
        <v>899</v>
      </c>
      <c r="K1366" t="s">
        <v>167</v>
      </c>
      <c r="N1366">
        <v>2</v>
      </c>
      <c r="O1366">
        <v>0.43780000000000002</v>
      </c>
      <c r="P1366" t="s">
        <v>38</v>
      </c>
      <c r="Q1366" s="1">
        <v>0</v>
      </c>
      <c r="R1366" t="s">
        <v>1272</v>
      </c>
      <c r="S1366" t="str">
        <f t="shared" si="8"/>
        <v>ko hợp</v>
      </c>
    </row>
    <row r="1367" spans="1:19" hidden="1" x14ac:dyDescent="0.3">
      <c r="A1367" t="s">
        <v>1151</v>
      </c>
      <c r="B1367" t="s">
        <v>1152</v>
      </c>
      <c r="C1367" t="s">
        <v>1079</v>
      </c>
      <c r="D1367">
        <v>13817</v>
      </c>
      <c r="E1367" t="s">
        <v>1153</v>
      </c>
      <c r="F1367" t="s">
        <v>22</v>
      </c>
      <c r="G1367" t="s">
        <v>1154</v>
      </c>
      <c r="H1367" t="s">
        <v>1155</v>
      </c>
      <c r="I1367" t="s">
        <v>31</v>
      </c>
      <c r="J1367">
        <v>1533</v>
      </c>
      <c r="K1367" t="s">
        <v>1156</v>
      </c>
      <c r="L1367">
        <v>3</v>
      </c>
      <c r="M1367">
        <v>14.9861</v>
      </c>
      <c r="P1367" t="s">
        <v>33</v>
      </c>
      <c r="Q1367" s="1">
        <v>0</v>
      </c>
      <c r="R1367" t="s">
        <v>1272</v>
      </c>
      <c r="S1367" t="str">
        <f t="shared" si="8"/>
        <v>ko hợp</v>
      </c>
    </row>
    <row r="1368" spans="1:19" hidden="1" x14ac:dyDescent="0.3">
      <c r="A1368" t="s">
        <v>1151</v>
      </c>
      <c r="B1368" t="s">
        <v>1152</v>
      </c>
      <c r="C1368" t="s">
        <v>1079</v>
      </c>
      <c r="D1368">
        <v>16145</v>
      </c>
      <c r="E1368" t="s">
        <v>182</v>
      </c>
      <c r="F1368" t="s">
        <v>155</v>
      </c>
      <c r="G1368" t="s">
        <v>183</v>
      </c>
      <c r="H1368" t="s">
        <v>184</v>
      </c>
      <c r="I1368" t="s">
        <v>31</v>
      </c>
      <c r="J1368">
        <v>2447</v>
      </c>
      <c r="K1368" t="s">
        <v>185</v>
      </c>
      <c r="N1368">
        <v>3</v>
      </c>
      <c r="O1368">
        <v>0.42899999999999999</v>
      </c>
      <c r="P1368" t="s">
        <v>38</v>
      </c>
      <c r="Q1368" s="1">
        <v>0</v>
      </c>
      <c r="R1368" t="s">
        <v>1272</v>
      </c>
      <c r="S1368" t="str">
        <f t="shared" si="8"/>
        <v>ko hợp</v>
      </c>
    </row>
    <row r="1369" spans="1:19" hidden="1" x14ac:dyDescent="0.3">
      <c r="A1369" t="s">
        <v>1151</v>
      </c>
      <c r="B1369" t="s">
        <v>1152</v>
      </c>
      <c r="C1369" t="s">
        <v>1079</v>
      </c>
      <c r="D1369">
        <v>19710</v>
      </c>
      <c r="E1369" t="s">
        <v>199</v>
      </c>
      <c r="F1369" t="s">
        <v>200</v>
      </c>
      <c r="G1369" t="s">
        <v>201</v>
      </c>
      <c r="H1369" t="s">
        <v>202</v>
      </c>
      <c r="I1369" t="s">
        <v>31</v>
      </c>
      <c r="J1369">
        <v>262</v>
      </c>
      <c r="K1369" t="s">
        <v>203</v>
      </c>
      <c r="L1369">
        <v>4</v>
      </c>
      <c r="M1369">
        <v>14.542999999999999</v>
      </c>
      <c r="P1369" t="s">
        <v>33</v>
      </c>
      <c r="Q1369" s="1">
        <v>0</v>
      </c>
      <c r="R1369" t="s">
        <v>1272</v>
      </c>
      <c r="S1369" t="str">
        <f t="shared" si="8"/>
        <v>ko hợp</v>
      </c>
    </row>
    <row r="1370" spans="1:19" hidden="1" x14ac:dyDescent="0.3">
      <c r="A1370" t="s">
        <v>1151</v>
      </c>
      <c r="B1370" t="s">
        <v>1152</v>
      </c>
      <c r="C1370" t="s">
        <v>1079</v>
      </c>
      <c r="D1370">
        <v>20773</v>
      </c>
      <c r="E1370" t="s">
        <v>109</v>
      </c>
      <c r="F1370" t="s">
        <v>60</v>
      </c>
      <c r="G1370" t="s">
        <v>41</v>
      </c>
      <c r="H1370" t="s">
        <v>110</v>
      </c>
      <c r="I1370" t="s">
        <v>25</v>
      </c>
      <c r="J1370">
        <v>1156</v>
      </c>
      <c r="K1370" t="s">
        <v>111</v>
      </c>
      <c r="N1370">
        <v>4</v>
      </c>
      <c r="O1370">
        <v>0.42080000000000001</v>
      </c>
      <c r="P1370" t="s">
        <v>38</v>
      </c>
      <c r="Q1370" s="1">
        <v>0</v>
      </c>
      <c r="R1370" t="s">
        <v>1272</v>
      </c>
      <c r="S1370" t="str">
        <f t="shared" si="8"/>
        <v>ko hợp</v>
      </c>
    </row>
    <row r="1371" spans="1:19" hidden="1" x14ac:dyDescent="0.3">
      <c r="A1371" t="s">
        <v>1151</v>
      </c>
      <c r="B1371" t="s">
        <v>1152</v>
      </c>
      <c r="C1371" t="s">
        <v>1079</v>
      </c>
      <c r="D1371">
        <v>13514</v>
      </c>
      <c r="E1371" t="s">
        <v>64</v>
      </c>
      <c r="F1371" t="s">
        <v>60</v>
      </c>
      <c r="G1371" t="s">
        <v>65</v>
      </c>
      <c r="H1371" t="s">
        <v>66</v>
      </c>
      <c r="I1371" t="s">
        <v>31</v>
      </c>
      <c r="J1371">
        <v>587</v>
      </c>
      <c r="K1371" t="s">
        <v>67</v>
      </c>
      <c r="N1371">
        <v>5</v>
      </c>
      <c r="O1371">
        <v>0.4204</v>
      </c>
      <c r="P1371" t="s">
        <v>38</v>
      </c>
      <c r="Q1371" s="1">
        <v>0</v>
      </c>
      <c r="R1371" t="s">
        <v>1272</v>
      </c>
      <c r="S1371" t="str">
        <f t="shared" si="8"/>
        <v>ko hợp</v>
      </c>
    </row>
    <row r="1372" spans="1:19" hidden="1" x14ac:dyDescent="0.3">
      <c r="A1372" t="s">
        <v>1151</v>
      </c>
      <c r="B1372" t="s">
        <v>1152</v>
      </c>
      <c r="C1372" t="s">
        <v>1079</v>
      </c>
      <c r="D1372">
        <v>20532</v>
      </c>
      <c r="E1372" t="s">
        <v>221</v>
      </c>
      <c r="F1372" t="s">
        <v>222</v>
      </c>
      <c r="G1372" t="s">
        <v>41</v>
      </c>
      <c r="H1372" t="s">
        <v>223</v>
      </c>
      <c r="I1372" t="s">
        <v>25</v>
      </c>
      <c r="J1372">
        <v>1105</v>
      </c>
      <c r="K1372" t="s">
        <v>224</v>
      </c>
      <c r="L1372">
        <v>5</v>
      </c>
      <c r="M1372">
        <v>13.5944</v>
      </c>
      <c r="P1372" t="s">
        <v>33</v>
      </c>
      <c r="Q1372" s="1">
        <v>0</v>
      </c>
      <c r="R1372" t="s">
        <v>1272</v>
      </c>
      <c r="S1372" t="str">
        <f t="shared" si="8"/>
        <v>ko hợp</v>
      </c>
    </row>
    <row r="1373" spans="1:19" hidden="1" x14ac:dyDescent="0.3">
      <c r="A1373" t="s">
        <v>1151</v>
      </c>
      <c r="B1373" t="s">
        <v>1152</v>
      </c>
      <c r="C1373" t="s">
        <v>1079</v>
      </c>
      <c r="D1373">
        <v>9821</v>
      </c>
      <c r="E1373" t="s">
        <v>21</v>
      </c>
      <c r="F1373" t="s">
        <v>22</v>
      </c>
      <c r="G1373" t="s">
        <v>23</v>
      </c>
      <c r="H1373" t="s">
        <v>24</v>
      </c>
      <c r="I1373" t="s">
        <v>25</v>
      </c>
      <c r="J1373">
        <v>998</v>
      </c>
      <c r="K1373" t="s">
        <v>26</v>
      </c>
      <c r="N1373">
        <v>6</v>
      </c>
      <c r="O1373">
        <v>0.41789999999999999</v>
      </c>
      <c r="P1373" t="s">
        <v>38</v>
      </c>
      <c r="Q1373" s="1">
        <v>0</v>
      </c>
      <c r="R1373" t="s">
        <v>1272</v>
      </c>
      <c r="S1373" t="str">
        <f t="shared" si="8"/>
        <v>ko hợp</v>
      </c>
    </row>
    <row r="1374" spans="1:19" hidden="1" x14ac:dyDescent="0.3">
      <c r="A1374" t="s">
        <v>1151</v>
      </c>
      <c r="B1374" t="s">
        <v>1152</v>
      </c>
      <c r="C1374" t="s">
        <v>1079</v>
      </c>
      <c r="D1374">
        <v>20392</v>
      </c>
      <c r="E1374" t="s">
        <v>661</v>
      </c>
      <c r="F1374" t="s">
        <v>662</v>
      </c>
      <c r="G1374" t="s">
        <v>41</v>
      </c>
      <c r="H1374" t="s">
        <v>663</v>
      </c>
      <c r="I1374" t="s">
        <v>25</v>
      </c>
      <c r="J1374">
        <v>980</v>
      </c>
      <c r="K1374" t="s">
        <v>664</v>
      </c>
      <c r="L1374">
        <v>6</v>
      </c>
      <c r="M1374">
        <v>13.3826</v>
      </c>
      <c r="P1374" t="s">
        <v>33</v>
      </c>
      <c r="Q1374" s="1">
        <v>0</v>
      </c>
      <c r="R1374" t="s">
        <v>1272</v>
      </c>
      <c r="S1374" t="str">
        <f t="shared" si="8"/>
        <v>ko hợp</v>
      </c>
    </row>
    <row r="1375" spans="1:19" hidden="1" x14ac:dyDescent="0.3">
      <c r="A1375" t="s">
        <v>1151</v>
      </c>
      <c r="B1375" t="s">
        <v>1152</v>
      </c>
      <c r="C1375" t="s">
        <v>1079</v>
      </c>
      <c r="D1375">
        <v>18090</v>
      </c>
      <c r="E1375" t="s">
        <v>1157</v>
      </c>
      <c r="F1375" t="s">
        <v>155</v>
      </c>
      <c r="G1375" t="s">
        <v>1158</v>
      </c>
      <c r="H1375" t="s">
        <v>1159</v>
      </c>
      <c r="I1375" t="s">
        <v>31</v>
      </c>
      <c r="J1375">
        <v>597</v>
      </c>
      <c r="K1375" t="s">
        <v>1160</v>
      </c>
      <c r="L1375">
        <v>7</v>
      </c>
      <c r="M1375">
        <v>13.169</v>
      </c>
      <c r="P1375" t="s">
        <v>33</v>
      </c>
      <c r="Q1375" s="1">
        <v>0</v>
      </c>
      <c r="R1375" t="s">
        <v>1272</v>
      </c>
      <c r="S1375" t="str">
        <f t="shared" si="8"/>
        <v>ko hợp</v>
      </c>
    </row>
    <row r="1376" spans="1:19" hidden="1" x14ac:dyDescent="0.3">
      <c r="A1376" t="s">
        <v>1151</v>
      </c>
      <c r="B1376" t="s">
        <v>1152</v>
      </c>
      <c r="C1376" t="s">
        <v>1079</v>
      </c>
      <c r="D1376">
        <v>20799</v>
      </c>
      <c r="E1376" t="s">
        <v>493</v>
      </c>
      <c r="F1376" t="s">
        <v>494</v>
      </c>
      <c r="G1376" t="s">
        <v>495</v>
      </c>
      <c r="H1376" t="s">
        <v>496</v>
      </c>
      <c r="I1376" t="s">
        <v>25</v>
      </c>
      <c r="J1376">
        <v>575</v>
      </c>
      <c r="K1376" t="s">
        <v>497</v>
      </c>
      <c r="N1376">
        <v>7</v>
      </c>
      <c r="O1376">
        <v>0.4143</v>
      </c>
      <c r="P1376" t="s">
        <v>38</v>
      </c>
      <c r="Q1376" s="1">
        <v>0</v>
      </c>
      <c r="R1376" t="s">
        <v>1272</v>
      </c>
      <c r="S1376" t="str">
        <f t="shared" si="8"/>
        <v>ko hợp</v>
      </c>
    </row>
    <row r="1377" spans="1:19" hidden="1" x14ac:dyDescent="0.3">
      <c r="A1377" t="s">
        <v>1151</v>
      </c>
      <c r="B1377" t="s">
        <v>1152</v>
      </c>
      <c r="C1377" t="s">
        <v>1079</v>
      </c>
      <c r="D1377">
        <v>16211</v>
      </c>
      <c r="E1377" t="s">
        <v>266</v>
      </c>
      <c r="F1377" t="s">
        <v>74</v>
      </c>
      <c r="G1377" t="s">
        <v>267</v>
      </c>
      <c r="H1377" t="s">
        <v>268</v>
      </c>
      <c r="I1377" t="s">
        <v>31</v>
      </c>
      <c r="J1377">
        <v>1579</v>
      </c>
      <c r="K1377" t="s">
        <v>269</v>
      </c>
      <c r="N1377">
        <v>8</v>
      </c>
      <c r="O1377">
        <v>0.41339999999999999</v>
      </c>
      <c r="P1377" t="s">
        <v>38</v>
      </c>
      <c r="Q1377" s="1">
        <v>0</v>
      </c>
      <c r="R1377" t="s">
        <v>1272</v>
      </c>
      <c r="S1377" t="str">
        <f t="shared" si="8"/>
        <v>ko hợp</v>
      </c>
    </row>
    <row r="1378" spans="1:19" hidden="1" x14ac:dyDescent="0.3">
      <c r="A1378" t="s">
        <v>1151</v>
      </c>
      <c r="B1378" t="s">
        <v>1152</v>
      </c>
      <c r="C1378" t="s">
        <v>1079</v>
      </c>
      <c r="D1378">
        <v>19312</v>
      </c>
      <c r="E1378" t="s">
        <v>321</v>
      </c>
      <c r="F1378" t="s">
        <v>322</v>
      </c>
      <c r="G1378" t="s">
        <v>323</v>
      </c>
      <c r="H1378" t="s">
        <v>324</v>
      </c>
      <c r="I1378" t="s">
        <v>31</v>
      </c>
      <c r="J1378">
        <v>2453</v>
      </c>
      <c r="K1378" t="s">
        <v>325</v>
      </c>
      <c r="L1378">
        <v>8</v>
      </c>
      <c r="M1378">
        <v>12.6701</v>
      </c>
      <c r="N1378">
        <v>9</v>
      </c>
      <c r="O1378">
        <v>0.41199999999999998</v>
      </c>
      <c r="P1378" t="s">
        <v>27</v>
      </c>
      <c r="Q1378" s="1">
        <v>0</v>
      </c>
      <c r="R1378" t="s">
        <v>1272</v>
      </c>
      <c r="S1378" t="str">
        <f t="shared" si="8"/>
        <v>ko hợp</v>
      </c>
    </row>
    <row r="1379" spans="1:19" hidden="1" x14ac:dyDescent="0.3">
      <c r="A1379" t="s">
        <v>1151</v>
      </c>
      <c r="B1379" t="s">
        <v>1152</v>
      </c>
      <c r="C1379" t="s">
        <v>1079</v>
      </c>
      <c r="D1379">
        <v>18613</v>
      </c>
      <c r="E1379" t="s">
        <v>939</v>
      </c>
      <c r="F1379" t="s">
        <v>60</v>
      </c>
      <c r="H1379" t="s">
        <v>940</v>
      </c>
      <c r="I1379" t="s">
        <v>25</v>
      </c>
      <c r="J1379">
        <v>2215</v>
      </c>
      <c r="K1379" t="s">
        <v>941</v>
      </c>
      <c r="L1379">
        <v>9</v>
      </c>
      <c r="M1379">
        <v>12.659000000000001</v>
      </c>
      <c r="P1379" t="s">
        <v>33</v>
      </c>
      <c r="Q1379" s="1">
        <v>0</v>
      </c>
      <c r="R1379" t="s">
        <v>1272</v>
      </c>
      <c r="S1379" t="str">
        <f t="shared" si="8"/>
        <v>ko hợp</v>
      </c>
    </row>
    <row r="1380" spans="1:19" hidden="1" x14ac:dyDescent="0.3">
      <c r="A1380" t="s">
        <v>1151</v>
      </c>
      <c r="B1380" t="s">
        <v>1152</v>
      </c>
      <c r="C1380" t="s">
        <v>1079</v>
      </c>
      <c r="D1380">
        <v>19831</v>
      </c>
      <c r="E1380" t="s">
        <v>880</v>
      </c>
      <c r="F1380" t="s">
        <v>22</v>
      </c>
      <c r="G1380" t="s">
        <v>806</v>
      </c>
      <c r="H1380" t="s">
        <v>881</v>
      </c>
      <c r="I1380" t="s">
        <v>31</v>
      </c>
      <c r="J1380">
        <v>194</v>
      </c>
      <c r="K1380" t="s">
        <v>882</v>
      </c>
      <c r="L1380">
        <v>10</v>
      </c>
      <c r="M1380">
        <v>12.521000000000001</v>
      </c>
      <c r="P1380" t="s">
        <v>33</v>
      </c>
      <c r="Q1380" s="1">
        <v>0</v>
      </c>
      <c r="R1380" t="s">
        <v>1272</v>
      </c>
      <c r="S1380" t="str">
        <f t="shared" si="8"/>
        <v>ko hợp</v>
      </c>
    </row>
    <row r="1381" spans="1:19" hidden="1" x14ac:dyDescent="0.3">
      <c r="A1381" t="s">
        <v>1151</v>
      </c>
      <c r="B1381" t="s">
        <v>1152</v>
      </c>
      <c r="C1381" t="s">
        <v>1079</v>
      </c>
      <c r="D1381">
        <v>20775</v>
      </c>
      <c r="E1381" t="s">
        <v>368</v>
      </c>
      <c r="F1381" t="s">
        <v>369</v>
      </c>
      <c r="G1381" t="s">
        <v>41</v>
      </c>
      <c r="H1381" t="s">
        <v>370</v>
      </c>
      <c r="I1381" t="s">
        <v>25</v>
      </c>
      <c r="J1381">
        <v>912</v>
      </c>
      <c r="K1381" t="s">
        <v>371</v>
      </c>
      <c r="N1381">
        <v>10</v>
      </c>
      <c r="O1381">
        <v>0.40889999999999999</v>
      </c>
      <c r="P1381" t="s">
        <v>38</v>
      </c>
      <c r="Q1381" s="1">
        <v>0</v>
      </c>
      <c r="R1381" t="s">
        <v>1272</v>
      </c>
      <c r="S1381" t="str">
        <f t="shared" si="8"/>
        <v>ko hợp</v>
      </c>
    </row>
    <row r="1382" spans="1:19" x14ac:dyDescent="0.3">
      <c r="A1382" t="s">
        <v>1161</v>
      </c>
      <c r="B1382" t="s">
        <v>1162</v>
      </c>
      <c r="C1382" t="s">
        <v>1079</v>
      </c>
      <c r="D1382">
        <v>14198</v>
      </c>
      <c r="E1382" t="s">
        <v>73</v>
      </c>
      <c r="F1382" t="s">
        <v>74</v>
      </c>
      <c r="G1382" t="s">
        <v>75</v>
      </c>
      <c r="H1382" t="s">
        <v>76</v>
      </c>
      <c r="I1382" t="s">
        <v>31</v>
      </c>
      <c r="J1382">
        <v>377</v>
      </c>
      <c r="K1382" t="s">
        <v>77</v>
      </c>
      <c r="L1382">
        <v>1</v>
      </c>
      <c r="M1382">
        <v>14.384499999999999</v>
      </c>
      <c r="P1382" t="s">
        <v>33</v>
      </c>
      <c r="Q1382" s="1">
        <v>0</v>
      </c>
      <c r="R1382" t="s">
        <v>1272</v>
      </c>
      <c r="S1382" t="str">
        <f t="shared" si="8"/>
        <v>ko hợp</v>
      </c>
    </row>
    <row r="1383" spans="1:19" x14ac:dyDescent="0.3">
      <c r="A1383" t="s">
        <v>1161</v>
      </c>
      <c r="B1383" t="s">
        <v>1162</v>
      </c>
      <c r="C1383" t="s">
        <v>1079</v>
      </c>
      <c r="D1383">
        <v>18885</v>
      </c>
      <c r="E1383" t="s">
        <v>86</v>
      </c>
      <c r="F1383" t="s">
        <v>60</v>
      </c>
      <c r="G1383" t="s">
        <v>87</v>
      </c>
      <c r="H1383" t="s">
        <v>88</v>
      </c>
      <c r="I1383" t="s">
        <v>31</v>
      </c>
      <c r="J1383">
        <v>596</v>
      </c>
      <c r="K1383" t="s">
        <v>89</v>
      </c>
      <c r="N1383">
        <v>1</v>
      </c>
      <c r="O1383">
        <v>0.41870000000000002</v>
      </c>
      <c r="P1383" t="s">
        <v>38</v>
      </c>
      <c r="Q1383" s="1">
        <v>2</v>
      </c>
      <c r="R1383" t="s">
        <v>1272</v>
      </c>
      <c r="S1383" t="str">
        <f t="shared" si="8"/>
        <v>ok</v>
      </c>
    </row>
    <row r="1384" spans="1:19" x14ac:dyDescent="0.3">
      <c r="A1384" t="s">
        <v>1161</v>
      </c>
      <c r="B1384" t="s">
        <v>1162</v>
      </c>
      <c r="C1384" t="s">
        <v>1079</v>
      </c>
      <c r="D1384">
        <v>2385</v>
      </c>
      <c r="E1384" t="s">
        <v>284</v>
      </c>
      <c r="F1384" t="s">
        <v>60</v>
      </c>
      <c r="G1384" t="s">
        <v>41</v>
      </c>
      <c r="H1384" t="s">
        <v>285</v>
      </c>
      <c r="I1384" t="s">
        <v>25</v>
      </c>
      <c r="J1384">
        <v>1160</v>
      </c>
      <c r="K1384" t="s">
        <v>286</v>
      </c>
      <c r="N1384">
        <v>2</v>
      </c>
      <c r="O1384">
        <v>0.3952</v>
      </c>
      <c r="P1384" t="s">
        <v>38</v>
      </c>
      <c r="Q1384" s="1">
        <v>0</v>
      </c>
      <c r="R1384" t="s">
        <v>1272</v>
      </c>
      <c r="S1384" t="str">
        <f t="shared" si="8"/>
        <v>ko hợp</v>
      </c>
    </row>
    <row r="1385" spans="1:19" x14ac:dyDescent="0.3">
      <c r="A1385" t="s">
        <v>1161</v>
      </c>
      <c r="B1385" t="s">
        <v>1162</v>
      </c>
      <c r="C1385" t="s">
        <v>1079</v>
      </c>
      <c r="D1385">
        <v>20479</v>
      </c>
      <c r="E1385" t="s">
        <v>1002</v>
      </c>
      <c r="F1385" t="s">
        <v>1003</v>
      </c>
      <c r="G1385" t="s">
        <v>41</v>
      </c>
      <c r="H1385" t="s">
        <v>1004</v>
      </c>
      <c r="I1385" t="s">
        <v>25</v>
      </c>
      <c r="J1385">
        <v>576</v>
      </c>
      <c r="K1385" t="s">
        <v>1005</v>
      </c>
      <c r="L1385">
        <v>2</v>
      </c>
      <c r="M1385">
        <v>13.2722</v>
      </c>
      <c r="P1385" t="s">
        <v>33</v>
      </c>
      <c r="Q1385" s="1">
        <v>0</v>
      </c>
      <c r="R1385" t="s">
        <v>1272</v>
      </c>
      <c r="S1385" t="str">
        <f t="shared" si="8"/>
        <v>ko hợp</v>
      </c>
    </row>
    <row r="1386" spans="1:19" x14ac:dyDescent="0.3">
      <c r="A1386" t="s">
        <v>1161</v>
      </c>
      <c r="B1386" t="s">
        <v>1162</v>
      </c>
      <c r="C1386" t="s">
        <v>1079</v>
      </c>
      <c r="D1386">
        <v>12188</v>
      </c>
      <c r="E1386" t="s">
        <v>680</v>
      </c>
      <c r="F1386" t="s">
        <v>668</v>
      </c>
      <c r="G1386" t="s">
        <v>681</v>
      </c>
      <c r="H1386" t="s">
        <v>682</v>
      </c>
      <c r="I1386" t="s">
        <v>31</v>
      </c>
      <c r="J1386">
        <v>637</v>
      </c>
      <c r="K1386" t="s">
        <v>683</v>
      </c>
      <c r="N1386">
        <v>3</v>
      </c>
      <c r="O1386">
        <v>0.39419999999999999</v>
      </c>
      <c r="P1386" t="s">
        <v>38</v>
      </c>
      <c r="Q1386" s="1">
        <v>1</v>
      </c>
      <c r="R1386" t="s">
        <v>1272</v>
      </c>
      <c r="S1386" t="str">
        <f t="shared" si="8"/>
        <v>Phù hợp 1 phần</v>
      </c>
    </row>
    <row r="1387" spans="1:19" x14ac:dyDescent="0.3">
      <c r="A1387" t="s">
        <v>1161</v>
      </c>
      <c r="B1387" t="s">
        <v>1162</v>
      </c>
      <c r="C1387" t="s">
        <v>1079</v>
      </c>
      <c r="D1387">
        <v>15905</v>
      </c>
      <c r="E1387" t="s">
        <v>262</v>
      </c>
      <c r="F1387" t="s">
        <v>60</v>
      </c>
      <c r="G1387" t="s">
        <v>263</v>
      </c>
      <c r="H1387" t="s">
        <v>264</v>
      </c>
      <c r="I1387" t="s">
        <v>31</v>
      </c>
      <c r="J1387">
        <v>772</v>
      </c>
      <c r="K1387" t="s">
        <v>265</v>
      </c>
      <c r="L1387">
        <v>3</v>
      </c>
      <c r="M1387">
        <v>12.0794</v>
      </c>
      <c r="P1387" t="s">
        <v>33</v>
      </c>
      <c r="Q1387" s="1">
        <v>0</v>
      </c>
      <c r="R1387" t="s">
        <v>1272</v>
      </c>
      <c r="S1387" t="str">
        <f t="shared" si="8"/>
        <v>ko hợp</v>
      </c>
    </row>
    <row r="1388" spans="1:19" x14ac:dyDescent="0.3">
      <c r="A1388" t="s">
        <v>1161</v>
      </c>
      <c r="B1388" t="s">
        <v>1162</v>
      </c>
      <c r="C1388" t="s">
        <v>1079</v>
      </c>
      <c r="D1388">
        <v>15013</v>
      </c>
      <c r="E1388" t="s">
        <v>59</v>
      </c>
      <c r="F1388" t="s">
        <v>60</v>
      </c>
      <c r="G1388" t="s">
        <v>61</v>
      </c>
      <c r="H1388" t="s">
        <v>62</v>
      </c>
      <c r="I1388" t="s">
        <v>25</v>
      </c>
      <c r="J1388">
        <v>550</v>
      </c>
      <c r="K1388" t="s">
        <v>63</v>
      </c>
      <c r="N1388">
        <v>4</v>
      </c>
      <c r="O1388">
        <v>0.38109999999999999</v>
      </c>
      <c r="P1388" t="s">
        <v>38</v>
      </c>
      <c r="Q1388" s="1">
        <v>2</v>
      </c>
      <c r="R1388" t="s">
        <v>1272</v>
      </c>
      <c r="S1388" t="str">
        <f t="shared" si="8"/>
        <v>ok</v>
      </c>
    </row>
    <row r="1389" spans="1:19" x14ac:dyDescent="0.3">
      <c r="A1389" t="s">
        <v>1161</v>
      </c>
      <c r="B1389" t="s">
        <v>1162</v>
      </c>
      <c r="C1389" t="s">
        <v>1079</v>
      </c>
      <c r="D1389">
        <v>16769</v>
      </c>
      <c r="E1389" t="s">
        <v>1085</v>
      </c>
      <c r="F1389" t="s">
        <v>74</v>
      </c>
      <c r="G1389" t="s">
        <v>1086</v>
      </c>
      <c r="H1389" t="s">
        <v>1087</v>
      </c>
      <c r="I1389" t="s">
        <v>31</v>
      </c>
      <c r="J1389">
        <v>939</v>
      </c>
      <c r="K1389" t="s">
        <v>1088</v>
      </c>
      <c r="L1389">
        <v>4</v>
      </c>
      <c r="M1389">
        <v>11.9819</v>
      </c>
      <c r="P1389" t="s">
        <v>33</v>
      </c>
      <c r="Q1389" s="1">
        <v>0</v>
      </c>
      <c r="R1389" t="s">
        <v>1272</v>
      </c>
      <c r="S1389" t="str">
        <f t="shared" si="8"/>
        <v>ko hợp</v>
      </c>
    </row>
    <row r="1390" spans="1:19" x14ac:dyDescent="0.3">
      <c r="A1390" t="s">
        <v>1161</v>
      </c>
      <c r="B1390" t="s">
        <v>1162</v>
      </c>
      <c r="C1390" t="s">
        <v>1079</v>
      </c>
      <c r="D1390">
        <v>15735</v>
      </c>
      <c r="E1390" t="s">
        <v>467</v>
      </c>
      <c r="F1390" t="s">
        <v>160</v>
      </c>
      <c r="G1390" t="s">
        <v>468</v>
      </c>
      <c r="H1390" t="s">
        <v>469</v>
      </c>
      <c r="I1390" t="s">
        <v>25</v>
      </c>
      <c r="J1390">
        <v>1775</v>
      </c>
      <c r="K1390" t="s">
        <v>470</v>
      </c>
      <c r="L1390">
        <v>5</v>
      </c>
      <c r="M1390">
        <v>11.544499999999999</v>
      </c>
      <c r="P1390" t="s">
        <v>33</v>
      </c>
      <c r="Q1390" s="1">
        <v>1</v>
      </c>
      <c r="R1390" t="s">
        <v>1272</v>
      </c>
      <c r="S1390" t="str">
        <f t="shared" si="8"/>
        <v>Phù hợp 1 phần</v>
      </c>
    </row>
    <row r="1391" spans="1:19" x14ac:dyDescent="0.3">
      <c r="A1391" t="s">
        <v>1161</v>
      </c>
      <c r="B1391" t="s">
        <v>1162</v>
      </c>
      <c r="C1391" t="s">
        <v>1079</v>
      </c>
      <c r="D1391">
        <v>20532</v>
      </c>
      <c r="E1391" t="s">
        <v>221</v>
      </c>
      <c r="F1391" t="s">
        <v>222</v>
      </c>
      <c r="G1391" t="s">
        <v>41</v>
      </c>
      <c r="H1391" t="s">
        <v>223</v>
      </c>
      <c r="I1391" t="s">
        <v>25</v>
      </c>
      <c r="J1391">
        <v>1105</v>
      </c>
      <c r="K1391" t="s">
        <v>224</v>
      </c>
      <c r="N1391">
        <v>5</v>
      </c>
      <c r="O1391">
        <v>0.37859999999999999</v>
      </c>
      <c r="P1391" t="s">
        <v>38</v>
      </c>
      <c r="Q1391" s="1">
        <v>0</v>
      </c>
      <c r="R1391" t="s">
        <v>1272</v>
      </c>
      <c r="S1391" t="str">
        <f t="shared" si="8"/>
        <v>ko hợp</v>
      </c>
    </row>
    <row r="1392" spans="1:19" x14ac:dyDescent="0.3">
      <c r="A1392" t="s">
        <v>1161</v>
      </c>
      <c r="B1392" t="s">
        <v>1162</v>
      </c>
      <c r="C1392" t="s">
        <v>1079</v>
      </c>
      <c r="D1392">
        <v>12428</v>
      </c>
      <c r="E1392" t="s">
        <v>850</v>
      </c>
      <c r="F1392" t="s">
        <v>74</v>
      </c>
      <c r="G1392" t="s">
        <v>151</v>
      </c>
      <c r="H1392" t="s">
        <v>851</v>
      </c>
      <c r="I1392" t="s">
        <v>31</v>
      </c>
      <c r="J1392">
        <v>891</v>
      </c>
      <c r="K1392" t="s">
        <v>852</v>
      </c>
      <c r="L1392">
        <v>6</v>
      </c>
      <c r="M1392">
        <v>10.939</v>
      </c>
      <c r="P1392" t="s">
        <v>33</v>
      </c>
      <c r="Q1392" s="1">
        <v>0</v>
      </c>
      <c r="R1392" t="s">
        <v>1272</v>
      </c>
      <c r="S1392" t="str">
        <f t="shared" si="8"/>
        <v>ko hợp</v>
      </c>
    </row>
    <row r="1393" spans="1:19" x14ac:dyDescent="0.3">
      <c r="A1393" t="s">
        <v>1161</v>
      </c>
      <c r="B1393" t="s">
        <v>1162</v>
      </c>
      <c r="C1393" t="s">
        <v>1079</v>
      </c>
      <c r="D1393">
        <v>18836</v>
      </c>
      <c r="E1393" t="s">
        <v>403</v>
      </c>
      <c r="F1393" t="s">
        <v>404</v>
      </c>
      <c r="G1393" t="s">
        <v>405</v>
      </c>
      <c r="H1393" t="s">
        <v>406</v>
      </c>
      <c r="I1393" t="s">
        <v>25</v>
      </c>
      <c r="J1393">
        <v>1168</v>
      </c>
      <c r="K1393" t="s">
        <v>407</v>
      </c>
      <c r="N1393">
        <v>6</v>
      </c>
      <c r="O1393">
        <v>0.374</v>
      </c>
      <c r="P1393" t="s">
        <v>38</v>
      </c>
      <c r="Q1393" s="1">
        <v>0</v>
      </c>
      <c r="R1393" t="s">
        <v>1272</v>
      </c>
      <c r="S1393" t="str">
        <f t="shared" si="8"/>
        <v>ko hợp</v>
      </c>
    </row>
    <row r="1394" spans="1:19" x14ac:dyDescent="0.3">
      <c r="A1394" t="s">
        <v>1161</v>
      </c>
      <c r="B1394" t="s">
        <v>1162</v>
      </c>
      <c r="C1394" t="s">
        <v>1079</v>
      </c>
      <c r="D1394">
        <v>15086</v>
      </c>
      <c r="E1394" t="s">
        <v>1148</v>
      </c>
      <c r="F1394" t="s">
        <v>74</v>
      </c>
      <c r="G1394" t="s">
        <v>275</v>
      </c>
      <c r="H1394" t="s">
        <v>1149</v>
      </c>
      <c r="I1394" t="s">
        <v>31</v>
      </c>
      <c r="J1394">
        <v>272</v>
      </c>
      <c r="K1394" t="s">
        <v>1150</v>
      </c>
      <c r="L1394">
        <v>7</v>
      </c>
      <c r="M1394">
        <v>10.751200000000001</v>
      </c>
      <c r="P1394" t="s">
        <v>33</v>
      </c>
      <c r="Q1394" s="1">
        <v>2</v>
      </c>
      <c r="R1394" t="s">
        <v>1272</v>
      </c>
      <c r="S1394" t="str">
        <f t="shared" si="8"/>
        <v>ok</v>
      </c>
    </row>
    <row r="1395" spans="1:19" x14ac:dyDescent="0.3">
      <c r="A1395" t="s">
        <v>1161</v>
      </c>
      <c r="B1395" t="s">
        <v>1162</v>
      </c>
      <c r="C1395" t="s">
        <v>1079</v>
      </c>
      <c r="D1395">
        <v>20773</v>
      </c>
      <c r="E1395" t="s">
        <v>109</v>
      </c>
      <c r="F1395" t="s">
        <v>60</v>
      </c>
      <c r="G1395" t="s">
        <v>41</v>
      </c>
      <c r="H1395" t="s">
        <v>110</v>
      </c>
      <c r="I1395" t="s">
        <v>25</v>
      </c>
      <c r="J1395">
        <v>1156</v>
      </c>
      <c r="K1395" t="s">
        <v>111</v>
      </c>
      <c r="N1395">
        <v>7</v>
      </c>
      <c r="O1395">
        <v>0.37390000000000001</v>
      </c>
      <c r="P1395" t="s">
        <v>38</v>
      </c>
      <c r="Q1395" s="1">
        <v>0</v>
      </c>
      <c r="R1395" t="s">
        <v>1272</v>
      </c>
      <c r="S1395" t="str">
        <f t="shared" si="8"/>
        <v>ko hợp</v>
      </c>
    </row>
    <row r="1396" spans="1:19" x14ac:dyDescent="0.3">
      <c r="A1396" t="s">
        <v>1161</v>
      </c>
      <c r="B1396" t="s">
        <v>1162</v>
      </c>
      <c r="C1396" t="s">
        <v>1079</v>
      </c>
      <c r="D1396">
        <v>14103</v>
      </c>
      <c r="E1396" t="s">
        <v>509</v>
      </c>
      <c r="F1396" t="s">
        <v>74</v>
      </c>
      <c r="G1396" t="s">
        <v>510</v>
      </c>
      <c r="H1396" t="s">
        <v>511</v>
      </c>
      <c r="I1396" t="s">
        <v>31</v>
      </c>
      <c r="J1396">
        <v>290</v>
      </c>
      <c r="K1396" t="s">
        <v>512</v>
      </c>
      <c r="L1396">
        <v>9</v>
      </c>
      <c r="M1396">
        <v>10.626200000000001</v>
      </c>
      <c r="N1396">
        <v>8</v>
      </c>
      <c r="O1396">
        <v>0.36880000000000002</v>
      </c>
      <c r="P1396" t="s">
        <v>27</v>
      </c>
      <c r="Q1396" s="1">
        <v>0</v>
      </c>
      <c r="R1396" t="s">
        <v>1272</v>
      </c>
      <c r="S1396" t="str">
        <f t="shared" si="8"/>
        <v>ko hợp</v>
      </c>
    </row>
    <row r="1397" spans="1:19" x14ac:dyDescent="0.3">
      <c r="A1397" t="s">
        <v>1161</v>
      </c>
      <c r="B1397" t="s">
        <v>1162</v>
      </c>
      <c r="C1397" t="s">
        <v>1079</v>
      </c>
      <c r="D1397">
        <v>16211</v>
      </c>
      <c r="E1397" t="s">
        <v>266</v>
      </c>
      <c r="F1397" t="s">
        <v>74</v>
      </c>
      <c r="G1397" t="s">
        <v>267</v>
      </c>
      <c r="H1397" t="s">
        <v>268</v>
      </c>
      <c r="I1397" t="s">
        <v>31</v>
      </c>
      <c r="J1397">
        <v>1579</v>
      </c>
      <c r="K1397" t="s">
        <v>269</v>
      </c>
      <c r="L1397">
        <v>8</v>
      </c>
      <c r="M1397">
        <v>10.7187</v>
      </c>
      <c r="N1397">
        <v>9</v>
      </c>
      <c r="O1397">
        <v>0.36580000000000001</v>
      </c>
      <c r="P1397" t="s">
        <v>27</v>
      </c>
      <c r="Q1397" s="1">
        <v>0</v>
      </c>
      <c r="R1397" t="s">
        <v>1272</v>
      </c>
      <c r="S1397" t="str">
        <f t="shared" si="8"/>
        <v>ko hợp</v>
      </c>
    </row>
    <row r="1398" spans="1:19" x14ac:dyDescent="0.3">
      <c r="A1398" t="s">
        <v>1161</v>
      </c>
      <c r="B1398" t="s">
        <v>1162</v>
      </c>
      <c r="C1398" t="s">
        <v>1079</v>
      </c>
      <c r="D1398">
        <v>171</v>
      </c>
      <c r="E1398" t="s">
        <v>102</v>
      </c>
      <c r="F1398" t="s">
        <v>103</v>
      </c>
      <c r="G1398" t="s">
        <v>104</v>
      </c>
      <c r="H1398" t="s">
        <v>105</v>
      </c>
      <c r="I1398" t="s">
        <v>31</v>
      </c>
      <c r="J1398">
        <v>474</v>
      </c>
      <c r="K1398" t="s">
        <v>106</v>
      </c>
      <c r="N1398">
        <v>10</v>
      </c>
      <c r="O1398">
        <v>0.3609</v>
      </c>
      <c r="P1398" t="s">
        <v>38</v>
      </c>
      <c r="Q1398" s="1">
        <v>0</v>
      </c>
      <c r="R1398" t="s">
        <v>1272</v>
      </c>
      <c r="S1398" t="str">
        <f t="shared" si="8"/>
        <v>ko hợp</v>
      </c>
    </row>
    <row r="1399" spans="1:19" x14ac:dyDescent="0.3">
      <c r="A1399" t="s">
        <v>1161</v>
      </c>
      <c r="B1399" t="s">
        <v>1162</v>
      </c>
      <c r="C1399" t="s">
        <v>1079</v>
      </c>
      <c r="D1399">
        <v>16838</v>
      </c>
      <c r="E1399" t="s">
        <v>129</v>
      </c>
      <c r="F1399" t="s">
        <v>60</v>
      </c>
      <c r="G1399" t="s">
        <v>130</v>
      </c>
      <c r="H1399" t="s">
        <v>131</v>
      </c>
      <c r="I1399" t="s">
        <v>31</v>
      </c>
      <c r="J1399">
        <v>3435</v>
      </c>
      <c r="K1399" t="s">
        <v>132</v>
      </c>
      <c r="L1399">
        <v>10</v>
      </c>
      <c r="M1399">
        <v>10.506</v>
      </c>
      <c r="P1399" t="s">
        <v>33</v>
      </c>
      <c r="Q1399" s="1">
        <v>1</v>
      </c>
      <c r="R1399" t="s">
        <v>1272</v>
      </c>
      <c r="S1399" t="str">
        <f t="shared" si="8"/>
        <v>Phù hợp 1 phần</v>
      </c>
    </row>
    <row r="1400" spans="1:19" hidden="1" x14ac:dyDescent="0.3">
      <c r="A1400" t="s">
        <v>1163</v>
      </c>
      <c r="B1400" t="s">
        <v>1164</v>
      </c>
      <c r="C1400" t="s">
        <v>1079</v>
      </c>
      <c r="D1400">
        <v>20632</v>
      </c>
      <c r="E1400" t="s">
        <v>204</v>
      </c>
      <c r="F1400" t="s">
        <v>205</v>
      </c>
      <c r="G1400" t="s">
        <v>206</v>
      </c>
      <c r="H1400" t="s">
        <v>207</v>
      </c>
      <c r="I1400" t="s">
        <v>31</v>
      </c>
      <c r="J1400">
        <v>411</v>
      </c>
      <c r="K1400" t="s">
        <v>208</v>
      </c>
      <c r="L1400">
        <v>1</v>
      </c>
      <c r="M1400">
        <v>28.5</v>
      </c>
      <c r="N1400">
        <v>1</v>
      </c>
      <c r="O1400">
        <v>0.4945</v>
      </c>
      <c r="P1400" t="s">
        <v>27</v>
      </c>
      <c r="Q1400" s="1">
        <v>1</v>
      </c>
      <c r="R1400" t="s">
        <v>1272</v>
      </c>
      <c r="S1400" t="str">
        <f t="shared" si="8"/>
        <v>Phù hợp 1 phần</v>
      </c>
    </row>
    <row r="1401" spans="1:19" hidden="1" x14ac:dyDescent="0.3">
      <c r="A1401" t="s">
        <v>1163</v>
      </c>
      <c r="B1401" t="s">
        <v>1164</v>
      </c>
      <c r="C1401" t="s">
        <v>1079</v>
      </c>
      <c r="D1401">
        <v>19282</v>
      </c>
      <c r="E1401" t="s">
        <v>244</v>
      </c>
      <c r="F1401" t="s">
        <v>245</v>
      </c>
      <c r="G1401" t="s">
        <v>246</v>
      </c>
      <c r="H1401" t="s">
        <v>247</v>
      </c>
      <c r="I1401" t="s">
        <v>25</v>
      </c>
      <c r="J1401">
        <v>814</v>
      </c>
      <c r="K1401" t="s">
        <v>248</v>
      </c>
      <c r="L1401">
        <v>2</v>
      </c>
      <c r="M1401">
        <v>19.3399</v>
      </c>
      <c r="P1401" t="s">
        <v>33</v>
      </c>
      <c r="Q1401" s="1">
        <v>1</v>
      </c>
      <c r="R1401" t="s">
        <v>1272</v>
      </c>
      <c r="S1401" t="str">
        <f t="shared" si="8"/>
        <v>Phù hợp 1 phần</v>
      </c>
    </row>
    <row r="1402" spans="1:19" hidden="1" x14ac:dyDescent="0.3">
      <c r="A1402" t="s">
        <v>1163</v>
      </c>
      <c r="B1402" t="s">
        <v>1164</v>
      </c>
      <c r="C1402" t="s">
        <v>1079</v>
      </c>
      <c r="D1402">
        <v>19992</v>
      </c>
      <c r="E1402" t="s">
        <v>408</v>
      </c>
      <c r="F1402" t="s">
        <v>22</v>
      </c>
      <c r="G1402" t="s">
        <v>409</v>
      </c>
      <c r="H1402" t="s">
        <v>410</v>
      </c>
      <c r="I1402" t="s">
        <v>31</v>
      </c>
      <c r="J1402">
        <v>553</v>
      </c>
      <c r="K1402" t="s">
        <v>411</v>
      </c>
      <c r="N1402">
        <v>2</v>
      </c>
      <c r="O1402">
        <v>0.47949999999999998</v>
      </c>
      <c r="P1402" t="s">
        <v>38</v>
      </c>
      <c r="Q1402" s="1">
        <v>0</v>
      </c>
      <c r="R1402" t="s">
        <v>1272</v>
      </c>
      <c r="S1402" t="str">
        <f t="shared" si="8"/>
        <v>ko hợp</v>
      </c>
    </row>
    <row r="1403" spans="1:19" hidden="1" x14ac:dyDescent="0.3">
      <c r="A1403" t="s">
        <v>1163</v>
      </c>
      <c r="B1403" t="s">
        <v>1164</v>
      </c>
      <c r="C1403" t="s">
        <v>1079</v>
      </c>
      <c r="D1403">
        <v>20185</v>
      </c>
      <c r="E1403" t="s">
        <v>885</v>
      </c>
      <c r="F1403" t="s">
        <v>842</v>
      </c>
      <c r="G1403" t="s">
        <v>886</v>
      </c>
      <c r="H1403" t="s">
        <v>887</v>
      </c>
      <c r="I1403" t="s">
        <v>31</v>
      </c>
      <c r="J1403">
        <v>674</v>
      </c>
      <c r="K1403" t="s">
        <v>888</v>
      </c>
      <c r="L1403">
        <v>3</v>
      </c>
      <c r="M1403">
        <v>15.798299999999999</v>
      </c>
      <c r="P1403" t="s">
        <v>33</v>
      </c>
      <c r="Q1403" s="1">
        <v>1</v>
      </c>
      <c r="R1403" t="s">
        <v>1272</v>
      </c>
      <c r="S1403" t="str">
        <f t="shared" si="8"/>
        <v>Phù hợp 1 phần</v>
      </c>
    </row>
    <row r="1404" spans="1:19" hidden="1" x14ac:dyDescent="0.3">
      <c r="A1404" t="s">
        <v>1163</v>
      </c>
      <c r="B1404" t="s">
        <v>1164</v>
      </c>
      <c r="C1404" t="s">
        <v>1079</v>
      </c>
      <c r="D1404">
        <v>20773</v>
      </c>
      <c r="E1404" t="s">
        <v>109</v>
      </c>
      <c r="F1404" t="s">
        <v>60</v>
      </c>
      <c r="G1404" t="s">
        <v>41</v>
      </c>
      <c r="H1404" t="s">
        <v>110</v>
      </c>
      <c r="I1404" t="s">
        <v>25</v>
      </c>
      <c r="J1404">
        <v>1156</v>
      </c>
      <c r="K1404" t="s">
        <v>111</v>
      </c>
      <c r="N1404">
        <v>3</v>
      </c>
      <c r="O1404">
        <v>0.4425</v>
      </c>
      <c r="P1404" t="s">
        <v>38</v>
      </c>
      <c r="Q1404" s="1">
        <v>0</v>
      </c>
      <c r="R1404" t="s">
        <v>1272</v>
      </c>
      <c r="S1404" t="str">
        <f t="shared" si="8"/>
        <v>ko hợp</v>
      </c>
    </row>
    <row r="1405" spans="1:19" hidden="1" x14ac:dyDescent="0.3">
      <c r="A1405" t="s">
        <v>1163</v>
      </c>
      <c r="B1405" t="s">
        <v>1164</v>
      </c>
      <c r="C1405" t="s">
        <v>1079</v>
      </c>
      <c r="D1405">
        <v>3280</v>
      </c>
      <c r="E1405" t="s">
        <v>178</v>
      </c>
      <c r="F1405" t="s">
        <v>155</v>
      </c>
      <c r="G1405" t="s">
        <v>179</v>
      </c>
      <c r="H1405" t="s">
        <v>180</v>
      </c>
      <c r="I1405" t="s">
        <v>25</v>
      </c>
      <c r="J1405">
        <v>927</v>
      </c>
      <c r="K1405" t="s">
        <v>181</v>
      </c>
      <c r="N1405">
        <v>4</v>
      </c>
      <c r="O1405">
        <v>0.43109999999999998</v>
      </c>
      <c r="P1405" t="s">
        <v>38</v>
      </c>
      <c r="Q1405" s="1">
        <v>0</v>
      </c>
      <c r="R1405" t="s">
        <v>1272</v>
      </c>
      <c r="S1405" t="str">
        <f t="shared" si="8"/>
        <v>ko hợp</v>
      </c>
    </row>
    <row r="1406" spans="1:19" hidden="1" x14ac:dyDescent="0.3">
      <c r="A1406" t="s">
        <v>1163</v>
      </c>
      <c r="B1406" t="s">
        <v>1164</v>
      </c>
      <c r="C1406" t="s">
        <v>1079</v>
      </c>
      <c r="D1406">
        <v>20595</v>
      </c>
      <c r="E1406" t="s">
        <v>190</v>
      </c>
      <c r="F1406" t="s">
        <v>191</v>
      </c>
      <c r="G1406" t="s">
        <v>192</v>
      </c>
      <c r="H1406" t="s">
        <v>193</v>
      </c>
      <c r="I1406" t="s">
        <v>25</v>
      </c>
      <c r="J1406">
        <v>2941</v>
      </c>
      <c r="K1406" t="s">
        <v>194</v>
      </c>
      <c r="L1406">
        <v>4</v>
      </c>
      <c r="M1406">
        <v>14.9391</v>
      </c>
      <c r="N1406">
        <v>5</v>
      </c>
      <c r="O1406">
        <v>0.41830000000000001</v>
      </c>
      <c r="P1406" t="s">
        <v>27</v>
      </c>
      <c r="Q1406" s="1">
        <v>2</v>
      </c>
      <c r="R1406" t="s">
        <v>1272</v>
      </c>
      <c r="S1406" t="str">
        <f t="shared" si="8"/>
        <v>ok</v>
      </c>
    </row>
    <row r="1407" spans="1:19" hidden="1" x14ac:dyDescent="0.3">
      <c r="A1407" t="s">
        <v>1163</v>
      </c>
      <c r="B1407" t="s">
        <v>1164</v>
      </c>
      <c r="C1407" t="s">
        <v>1079</v>
      </c>
      <c r="D1407">
        <v>19710</v>
      </c>
      <c r="E1407" t="s">
        <v>199</v>
      </c>
      <c r="F1407" t="s">
        <v>200</v>
      </c>
      <c r="G1407" t="s">
        <v>201</v>
      </c>
      <c r="H1407" t="s">
        <v>202</v>
      </c>
      <c r="I1407" t="s">
        <v>31</v>
      </c>
      <c r="J1407">
        <v>262</v>
      </c>
      <c r="K1407" t="s">
        <v>203</v>
      </c>
      <c r="L1407">
        <v>5</v>
      </c>
      <c r="M1407">
        <v>12.695399999999999</v>
      </c>
      <c r="P1407" t="s">
        <v>33</v>
      </c>
      <c r="Q1407" s="1">
        <v>0</v>
      </c>
      <c r="R1407" t="s">
        <v>1272</v>
      </c>
      <c r="S1407" t="str">
        <f t="shared" si="8"/>
        <v>ko hợp</v>
      </c>
    </row>
    <row r="1408" spans="1:19" hidden="1" x14ac:dyDescent="0.3">
      <c r="A1408" t="s">
        <v>1163</v>
      </c>
      <c r="B1408" t="s">
        <v>1164</v>
      </c>
      <c r="C1408" t="s">
        <v>1079</v>
      </c>
      <c r="D1408">
        <v>360</v>
      </c>
      <c r="E1408" t="s">
        <v>1165</v>
      </c>
      <c r="F1408" t="s">
        <v>22</v>
      </c>
      <c r="G1408" t="s">
        <v>1166</v>
      </c>
      <c r="H1408" t="s">
        <v>1167</v>
      </c>
      <c r="I1408" t="s">
        <v>25</v>
      </c>
      <c r="J1408">
        <v>356</v>
      </c>
      <c r="K1408" t="s">
        <v>1168</v>
      </c>
      <c r="L1408">
        <v>6</v>
      </c>
      <c r="M1408">
        <v>12.6904</v>
      </c>
      <c r="P1408" t="s">
        <v>33</v>
      </c>
      <c r="Q1408" s="1">
        <v>0</v>
      </c>
      <c r="R1408" t="s">
        <v>1272</v>
      </c>
      <c r="S1408" t="str">
        <f t="shared" si="8"/>
        <v>ko hợp</v>
      </c>
    </row>
    <row r="1409" spans="1:19" hidden="1" x14ac:dyDescent="0.3">
      <c r="A1409" t="s">
        <v>1163</v>
      </c>
      <c r="B1409" t="s">
        <v>1164</v>
      </c>
      <c r="C1409" t="s">
        <v>1079</v>
      </c>
      <c r="D1409">
        <v>17487</v>
      </c>
      <c r="E1409" t="s">
        <v>641</v>
      </c>
      <c r="F1409" t="s">
        <v>155</v>
      </c>
      <c r="G1409" t="s">
        <v>642</v>
      </c>
      <c r="H1409" t="s">
        <v>643</v>
      </c>
      <c r="I1409" t="s">
        <v>25</v>
      </c>
      <c r="J1409">
        <v>827</v>
      </c>
      <c r="K1409" t="s">
        <v>644</v>
      </c>
      <c r="N1409">
        <v>6</v>
      </c>
      <c r="O1409">
        <v>0.41039999999999999</v>
      </c>
      <c r="P1409" t="s">
        <v>38</v>
      </c>
      <c r="Q1409" s="1">
        <v>0</v>
      </c>
      <c r="R1409" t="s">
        <v>1272</v>
      </c>
      <c r="S1409" t="str">
        <f t="shared" si="8"/>
        <v>ko hợp</v>
      </c>
    </row>
    <row r="1410" spans="1:19" hidden="1" x14ac:dyDescent="0.3">
      <c r="A1410" t="s">
        <v>1163</v>
      </c>
      <c r="B1410" t="s">
        <v>1164</v>
      </c>
      <c r="C1410" t="s">
        <v>1079</v>
      </c>
      <c r="D1410">
        <v>15905</v>
      </c>
      <c r="E1410" t="s">
        <v>262</v>
      </c>
      <c r="F1410" t="s">
        <v>60</v>
      </c>
      <c r="G1410" t="s">
        <v>263</v>
      </c>
      <c r="H1410" t="s">
        <v>264</v>
      </c>
      <c r="I1410" t="s">
        <v>31</v>
      </c>
      <c r="J1410">
        <v>772</v>
      </c>
      <c r="K1410" t="s">
        <v>265</v>
      </c>
      <c r="L1410">
        <v>7</v>
      </c>
      <c r="M1410">
        <v>12.273</v>
      </c>
      <c r="P1410" t="s">
        <v>33</v>
      </c>
      <c r="Q1410" s="1">
        <v>2</v>
      </c>
      <c r="R1410" t="s">
        <v>1272</v>
      </c>
      <c r="S1410" t="str">
        <f t="shared" si="8"/>
        <v>ok</v>
      </c>
    </row>
    <row r="1411" spans="1:19" hidden="1" x14ac:dyDescent="0.3">
      <c r="A1411" t="s">
        <v>1163</v>
      </c>
      <c r="B1411" t="s">
        <v>1164</v>
      </c>
      <c r="C1411" t="s">
        <v>1079</v>
      </c>
      <c r="D1411">
        <v>19312</v>
      </c>
      <c r="E1411" t="s">
        <v>321</v>
      </c>
      <c r="F1411" t="s">
        <v>322</v>
      </c>
      <c r="G1411" t="s">
        <v>323</v>
      </c>
      <c r="H1411" t="s">
        <v>324</v>
      </c>
      <c r="I1411" t="s">
        <v>31</v>
      </c>
      <c r="J1411">
        <v>2453</v>
      </c>
      <c r="K1411" t="s">
        <v>325</v>
      </c>
      <c r="N1411">
        <v>7</v>
      </c>
      <c r="O1411">
        <v>0.4103</v>
      </c>
      <c r="P1411" t="s">
        <v>38</v>
      </c>
      <c r="Q1411" s="1">
        <v>0</v>
      </c>
      <c r="R1411" t="s">
        <v>1272</v>
      </c>
      <c r="S1411" t="str">
        <f t="shared" si="8"/>
        <v>ko hợp</v>
      </c>
    </row>
    <row r="1412" spans="1:19" hidden="1" x14ac:dyDescent="0.3">
      <c r="A1412" t="s">
        <v>1163</v>
      </c>
      <c r="B1412" t="s">
        <v>1164</v>
      </c>
      <c r="C1412" t="s">
        <v>1079</v>
      </c>
      <c r="D1412">
        <v>14042</v>
      </c>
      <c r="E1412" t="s">
        <v>1169</v>
      </c>
      <c r="F1412" t="s">
        <v>60</v>
      </c>
      <c r="G1412" t="s">
        <v>1170</v>
      </c>
      <c r="H1412" t="s">
        <v>1171</v>
      </c>
      <c r="I1412" t="s">
        <v>31</v>
      </c>
      <c r="J1412">
        <v>337</v>
      </c>
      <c r="K1412" t="s">
        <v>1172</v>
      </c>
      <c r="L1412">
        <v>8</v>
      </c>
      <c r="M1412">
        <v>12.1708</v>
      </c>
      <c r="P1412" t="s">
        <v>33</v>
      </c>
      <c r="Q1412" s="1">
        <v>2</v>
      </c>
      <c r="R1412" t="s">
        <v>1272</v>
      </c>
      <c r="S1412" t="str">
        <f t="shared" si="8"/>
        <v>ok</v>
      </c>
    </row>
    <row r="1413" spans="1:19" hidden="1" x14ac:dyDescent="0.3">
      <c r="A1413" t="s">
        <v>1163</v>
      </c>
      <c r="B1413" t="s">
        <v>1164</v>
      </c>
      <c r="C1413" t="s">
        <v>1079</v>
      </c>
      <c r="D1413">
        <v>20353</v>
      </c>
      <c r="E1413" t="s">
        <v>164</v>
      </c>
      <c r="F1413" t="s">
        <v>165</v>
      </c>
      <c r="G1413" t="s">
        <v>41</v>
      </c>
      <c r="H1413" t="s">
        <v>166</v>
      </c>
      <c r="I1413" t="s">
        <v>31</v>
      </c>
      <c r="J1413">
        <v>899</v>
      </c>
      <c r="K1413" t="s">
        <v>167</v>
      </c>
      <c r="N1413">
        <v>8</v>
      </c>
      <c r="O1413">
        <v>0.4012</v>
      </c>
      <c r="P1413" t="s">
        <v>38</v>
      </c>
      <c r="Q1413" s="1">
        <v>0</v>
      </c>
      <c r="R1413" t="s">
        <v>1272</v>
      </c>
      <c r="S1413" t="str">
        <f t="shared" si="8"/>
        <v>ko hợp</v>
      </c>
    </row>
    <row r="1414" spans="1:19" hidden="1" x14ac:dyDescent="0.3">
      <c r="A1414" t="s">
        <v>1163</v>
      </c>
      <c r="B1414" t="s">
        <v>1164</v>
      </c>
      <c r="C1414" t="s">
        <v>1079</v>
      </c>
      <c r="D1414">
        <v>8524</v>
      </c>
      <c r="E1414" t="s">
        <v>676</v>
      </c>
      <c r="F1414" t="s">
        <v>668</v>
      </c>
      <c r="G1414" t="s">
        <v>677</v>
      </c>
      <c r="H1414" t="s">
        <v>678</v>
      </c>
      <c r="I1414" t="s">
        <v>25</v>
      </c>
      <c r="J1414">
        <v>226</v>
      </c>
      <c r="K1414" t="s">
        <v>679</v>
      </c>
      <c r="N1414">
        <v>9</v>
      </c>
      <c r="O1414">
        <v>0.39879999999999999</v>
      </c>
      <c r="P1414" t="s">
        <v>38</v>
      </c>
      <c r="Q1414" s="1">
        <v>2</v>
      </c>
      <c r="R1414" t="s">
        <v>1272</v>
      </c>
      <c r="S1414" t="str">
        <f t="shared" si="8"/>
        <v>ok</v>
      </c>
    </row>
    <row r="1415" spans="1:19" hidden="1" x14ac:dyDescent="0.3">
      <c r="A1415" t="s">
        <v>1163</v>
      </c>
      <c r="B1415" t="s">
        <v>1164</v>
      </c>
      <c r="C1415" t="s">
        <v>1079</v>
      </c>
      <c r="D1415">
        <v>8979</v>
      </c>
      <c r="E1415" t="s">
        <v>667</v>
      </c>
      <c r="F1415" t="s">
        <v>668</v>
      </c>
      <c r="G1415" t="s">
        <v>669</v>
      </c>
      <c r="H1415" t="s">
        <v>670</v>
      </c>
      <c r="I1415" t="s">
        <v>25</v>
      </c>
      <c r="J1415">
        <v>925</v>
      </c>
      <c r="K1415" t="s">
        <v>671</v>
      </c>
      <c r="L1415">
        <v>9</v>
      </c>
      <c r="M1415">
        <v>11.4353</v>
      </c>
      <c r="P1415" t="s">
        <v>33</v>
      </c>
      <c r="Q1415" s="1">
        <v>2</v>
      </c>
      <c r="R1415" t="s">
        <v>1272</v>
      </c>
      <c r="S1415" t="str">
        <f t="shared" si="8"/>
        <v>ok</v>
      </c>
    </row>
    <row r="1416" spans="1:19" hidden="1" x14ac:dyDescent="0.3">
      <c r="A1416" t="s">
        <v>1163</v>
      </c>
      <c r="B1416" t="s">
        <v>1164</v>
      </c>
      <c r="C1416" t="s">
        <v>1079</v>
      </c>
      <c r="D1416">
        <v>10796</v>
      </c>
      <c r="E1416" t="s">
        <v>1130</v>
      </c>
      <c r="F1416" t="s">
        <v>60</v>
      </c>
      <c r="G1416" t="s">
        <v>1131</v>
      </c>
      <c r="H1416" t="s">
        <v>1132</v>
      </c>
      <c r="I1416" t="s">
        <v>25</v>
      </c>
      <c r="J1416">
        <v>689</v>
      </c>
      <c r="K1416" t="s">
        <v>1133</v>
      </c>
      <c r="L1416">
        <v>10</v>
      </c>
      <c r="M1416">
        <v>11.254899999999999</v>
      </c>
      <c r="P1416" t="s">
        <v>33</v>
      </c>
      <c r="Q1416" s="1">
        <v>2</v>
      </c>
      <c r="R1416" t="s">
        <v>1272</v>
      </c>
      <c r="S1416" t="str">
        <f t="shared" si="8"/>
        <v>ok</v>
      </c>
    </row>
    <row r="1417" spans="1:19" hidden="1" x14ac:dyDescent="0.3">
      <c r="A1417" t="s">
        <v>1163</v>
      </c>
      <c r="B1417" t="s">
        <v>1164</v>
      </c>
      <c r="C1417" t="s">
        <v>1079</v>
      </c>
      <c r="D1417">
        <v>20259</v>
      </c>
      <c r="E1417" t="s">
        <v>49</v>
      </c>
      <c r="F1417" t="s">
        <v>50</v>
      </c>
      <c r="G1417" t="s">
        <v>51</v>
      </c>
      <c r="H1417" t="s">
        <v>52</v>
      </c>
      <c r="I1417" t="s">
        <v>25</v>
      </c>
      <c r="J1417">
        <v>313</v>
      </c>
      <c r="K1417" t="s">
        <v>53</v>
      </c>
      <c r="N1417">
        <v>10</v>
      </c>
      <c r="O1417">
        <v>0.39850000000000002</v>
      </c>
      <c r="P1417" t="s">
        <v>38</v>
      </c>
      <c r="Q1417" s="1">
        <v>0</v>
      </c>
      <c r="R1417" t="s">
        <v>1272</v>
      </c>
      <c r="S1417" t="str">
        <f t="shared" si="8"/>
        <v>ko hợp</v>
      </c>
    </row>
    <row r="1418" spans="1:19" hidden="1" x14ac:dyDescent="0.3">
      <c r="A1418" t="s">
        <v>1173</v>
      </c>
      <c r="B1418" t="s">
        <v>1174</v>
      </c>
      <c r="C1418" t="s">
        <v>1079</v>
      </c>
      <c r="D1418">
        <v>15905</v>
      </c>
      <c r="E1418" t="s">
        <v>262</v>
      </c>
      <c r="F1418" t="s">
        <v>60</v>
      </c>
      <c r="G1418" t="s">
        <v>263</v>
      </c>
      <c r="H1418" t="s">
        <v>264</v>
      </c>
      <c r="I1418" t="s">
        <v>31</v>
      </c>
      <c r="J1418">
        <v>772</v>
      </c>
      <c r="K1418" t="s">
        <v>265</v>
      </c>
      <c r="L1418">
        <v>1</v>
      </c>
      <c r="M1418">
        <v>12.8987</v>
      </c>
      <c r="P1418" t="s">
        <v>33</v>
      </c>
      <c r="Q1418" s="1">
        <v>0</v>
      </c>
      <c r="R1418" t="s">
        <v>1272</v>
      </c>
      <c r="S1418" t="str">
        <f t="shared" si="8"/>
        <v>ko hợp</v>
      </c>
    </row>
    <row r="1419" spans="1:19" hidden="1" x14ac:dyDescent="0.3">
      <c r="A1419" t="s">
        <v>1173</v>
      </c>
      <c r="B1419" t="s">
        <v>1174</v>
      </c>
      <c r="C1419" t="s">
        <v>1079</v>
      </c>
      <c r="D1419">
        <v>20773</v>
      </c>
      <c r="E1419" t="s">
        <v>109</v>
      </c>
      <c r="F1419" t="s">
        <v>60</v>
      </c>
      <c r="G1419" t="s">
        <v>41</v>
      </c>
      <c r="H1419" t="s">
        <v>110</v>
      </c>
      <c r="I1419" t="s">
        <v>25</v>
      </c>
      <c r="J1419">
        <v>1156</v>
      </c>
      <c r="K1419" t="s">
        <v>111</v>
      </c>
      <c r="L1419">
        <v>5</v>
      </c>
      <c r="M1419">
        <v>11.093500000000001</v>
      </c>
      <c r="N1419">
        <v>1</v>
      </c>
      <c r="O1419">
        <v>0.44719999999999999</v>
      </c>
      <c r="P1419" t="s">
        <v>27</v>
      </c>
      <c r="Q1419" s="1">
        <v>0</v>
      </c>
      <c r="R1419" t="s">
        <v>1272</v>
      </c>
      <c r="S1419" t="str">
        <f t="shared" si="8"/>
        <v>ko hợp</v>
      </c>
    </row>
    <row r="1420" spans="1:19" hidden="1" x14ac:dyDescent="0.3">
      <c r="A1420" t="s">
        <v>1173</v>
      </c>
      <c r="B1420" t="s">
        <v>1174</v>
      </c>
      <c r="C1420" t="s">
        <v>1079</v>
      </c>
      <c r="D1420">
        <v>1063</v>
      </c>
      <c r="E1420" t="s">
        <v>866</v>
      </c>
      <c r="F1420" t="s">
        <v>155</v>
      </c>
      <c r="G1420" t="s">
        <v>867</v>
      </c>
      <c r="H1420" t="s">
        <v>868</v>
      </c>
      <c r="I1420" t="s">
        <v>25</v>
      </c>
      <c r="J1420">
        <v>224</v>
      </c>
      <c r="K1420" t="s">
        <v>869</v>
      </c>
      <c r="N1420">
        <v>2</v>
      </c>
      <c r="O1420">
        <v>0.43140000000000001</v>
      </c>
      <c r="P1420" t="s">
        <v>38</v>
      </c>
      <c r="Q1420" s="1">
        <v>0</v>
      </c>
      <c r="R1420" t="s">
        <v>1272</v>
      </c>
      <c r="S1420" t="str">
        <f t="shared" si="8"/>
        <v>ko hợp</v>
      </c>
    </row>
    <row r="1421" spans="1:19" hidden="1" x14ac:dyDescent="0.3">
      <c r="A1421" t="s">
        <v>1173</v>
      </c>
      <c r="B1421" t="s">
        <v>1174</v>
      </c>
      <c r="C1421" t="s">
        <v>1079</v>
      </c>
      <c r="D1421">
        <v>14198</v>
      </c>
      <c r="E1421" t="s">
        <v>73</v>
      </c>
      <c r="F1421" t="s">
        <v>74</v>
      </c>
      <c r="G1421" t="s">
        <v>75</v>
      </c>
      <c r="H1421" t="s">
        <v>76</v>
      </c>
      <c r="I1421" t="s">
        <v>31</v>
      </c>
      <c r="J1421">
        <v>377</v>
      </c>
      <c r="K1421" t="s">
        <v>77</v>
      </c>
      <c r="L1421">
        <v>2</v>
      </c>
      <c r="M1421">
        <v>12.3939</v>
      </c>
      <c r="P1421" t="s">
        <v>33</v>
      </c>
      <c r="Q1421" s="1">
        <v>0</v>
      </c>
      <c r="R1421" t="s">
        <v>1272</v>
      </c>
      <c r="S1421" t="str">
        <f t="shared" ref="S1421:S1484" si="9">IF(Q1421=2,"ok",IF(Q1421=1,"Phù hợp 1 phần", "ko hợp"))</f>
        <v>ko hợp</v>
      </c>
    </row>
    <row r="1422" spans="1:19" hidden="1" x14ac:dyDescent="0.3">
      <c r="A1422" t="s">
        <v>1173</v>
      </c>
      <c r="B1422" t="s">
        <v>1174</v>
      </c>
      <c r="C1422" t="s">
        <v>1079</v>
      </c>
      <c r="D1422">
        <v>17519</v>
      </c>
      <c r="E1422" t="s">
        <v>34</v>
      </c>
      <c r="F1422" t="s">
        <v>22</v>
      </c>
      <c r="G1422" t="s">
        <v>35</v>
      </c>
      <c r="H1422" t="s">
        <v>36</v>
      </c>
      <c r="I1422" t="s">
        <v>25</v>
      </c>
      <c r="J1422">
        <v>2690</v>
      </c>
      <c r="K1422" t="s">
        <v>37</v>
      </c>
      <c r="N1422">
        <v>3</v>
      </c>
      <c r="O1422">
        <v>0.42180000000000001</v>
      </c>
      <c r="P1422" t="s">
        <v>38</v>
      </c>
      <c r="Q1422" s="1">
        <v>0</v>
      </c>
      <c r="R1422" t="s">
        <v>1272</v>
      </c>
      <c r="S1422" t="str">
        <f t="shared" si="9"/>
        <v>ko hợp</v>
      </c>
    </row>
    <row r="1423" spans="1:19" hidden="1" x14ac:dyDescent="0.3">
      <c r="A1423" t="s">
        <v>1173</v>
      </c>
      <c r="B1423" t="s">
        <v>1174</v>
      </c>
      <c r="C1423" t="s">
        <v>1079</v>
      </c>
      <c r="D1423">
        <v>20293</v>
      </c>
      <c r="E1423" t="s">
        <v>419</v>
      </c>
      <c r="F1423" t="s">
        <v>420</v>
      </c>
      <c r="G1423" t="s">
        <v>421</v>
      </c>
      <c r="H1423" t="s">
        <v>422</v>
      </c>
      <c r="I1423" t="s">
        <v>25</v>
      </c>
      <c r="J1423">
        <v>2164</v>
      </c>
      <c r="K1423" t="s">
        <v>423</v>
      </c>
      <c r="L1423">
        <v>3</v>
      </c>
      <c r="M1423">
        <v>12.2186</v>
      </c>
      <c r="N1423">
        <v>10</v>
      </c>
      <c r="O1423">
        <v>0.39679999999999999</v>
      </c>
      <c r="P1423" t="s">
        <v>27</v>
      </c>
      <c r="Q1423" s="1">
        <v>0</v>
      </c>
      <c r="R1423" t="s">
        <v>1272</v>
      </c>
      <c r="S1423" t="str">
        <f t="shared" si="9"/>
        <v>ko hợp</v>
      </c>
    </row>
    <row r="1424" spans="1:19" hidden="1" x14ac:dyDescent="0.3">
      <c r="A1424" t="s">
        <v>1173</v>
      </c>
      <c r="B1424" t="s">
        <v>1174</v>
      </c>
      <c r="C1424" t="s">
        <v>1079</v>
      </c>
      <c r="D1424">
        <v>13237</v>
      </c>
      <c r="E1424" t="s">
        <v>137</v>
      </c>
      <c r="F1424" t="s">
        <v>60</v>
      </c>
      <c r="G1424" t="s">
        <v>138</v>
      </c>
      <c r="H1424" t="s">
        <v>139</v>
      </c>
      <c r="I1424" t="s">
        <v>31</v>
      </c>
      <c r="J1424">
        <v>1213</v>
      </c>
      <c r="K1424" t="s">
        <v>140</v>
      </c>
      <c r="L1424">
        <v>4</v>
      </c>
      <c r="M1424">
        <v>11.472099999999999</v>
      </c>
      <c r="N1424">
        <v>5</v>
      </c>
      <c r="O1424">
        <v>0.41410000000000002</v>
      </c>
      <c r="P1424" t="s">
        <v>27</v>
      </c>
      <c r="Q1424" s="1">
        <v>0</v>
      </c>
      <c r="R1424" t="s">
        <v>1272</v>
      </c>
      <c r="S1424" t="str">
        <f t="shared" si="9"/>
        <v>ko hợp</v>
      </c>
    </row>
    <row r="1425" spans="1:19" hidden="1" x14ac:dyDescent="0.3">
      <c r="A1425" t="s">
        <v>1173</v>
      </c>
      <c r="B1425" t="s">
        <v>1174</v>
      </c>
      <c r="C1425" t="s">
        <v>1079</v>
      </c>
      <c r="D1425">
        <v>20259</v>
      </c>
      <c r="E1425" t="s">
        <v>49</v>
      </c>
      <c r="F1425" t="s">
        <v>50</v>
      </c>
      <c r="G1425" t="s">
        <v>51</v>
      </c>
      <c r="H1425" t="s">
        <v>52</v>
      </c>
      <c r="I1425" t="s">
        <v>25</v>
      </c>
      <c r="J1425">
        <v>313</v>
      </c>
      <c r="K1425" t="s">
        <v>53</v>
      </c>
      <c r="N1425">
        <v>4</v>
      </c>
      <c r="O1425">
        <v>0.41699999999999998</v>
      </c>
      <c r="P1425" t="s">
        <v>38</v>
      </c>
      <c r="Q1425" s="1">
        <v>0</v>
      </c>
      <c r="R1425" t="s">
        <v>1272</v>
      </c>
      <c r="S1425" t="str">
        <f t="shared" si="9"/>
        <v>ko hợp</v>
      </c>
    </row>
    <row r="1426" spans="1:19" hidden="1" x14ac:dyDescent="0.3">
      <c r="A1426" t="s">
        <v>1173</v>
      </c>
      <c r="B1426" t="s">
        <v>1174</v>
      </c>
      <c r="C1426" t="s">
        <v>1079</v>
      </c>
      <c r="D1426">
        <v>13524</v>
      </c>
      <c r="E1426" t="s">
        <v>613</v>
      </c>
      <c r="F1426" t="s">
        <v>22</v>
      </c>
      <c r="G1426" t="s">
        <v>614</v>
      </c>
      <c r="H1426" t="s">
        <v>615</v>
      </c>
      <c r="I1426" t="s">
        <v>31</v>
      </c>
      <c r="J1426">
        <v>751</v>
      </c>
      <c r="K1426" t="s">
        <v>616</v>
      </c>
      <c r="L1426">
        <v>6</v>
      </c>
      <c r="M1426">
        <v>11.0144</v>
      </c>
      <c r="P1426" t="s">
        <v>33</v>
      </c>
      <c r="Q1426" s="1">
        <v>2</v>
      </c>
      <c r="R1426" t="s">
        <v>1272</v>
      </c>
      <c r="S1426" t="str">
        <f t="shared" si="9"/>
        <v>ok</v>
      </c>
    </row>
    <row r="1427" spans="1:19" hidden="1" x14ac:dyDescent="0.3">
      <c r="A1427" t="s">
        <v>1173</v>
      </c>
      <c r="B1427" t="s">
        <v>1174</v>
      </c>
      <c r="C1427" t="s">
        <v>1079</v>
      </c>
      <c r="D1427">
        <v>19992</v>
      </c>
      <c r="E1427" t="s">
        <v>408</v>
      </c>
      <c r="F1427" t="s">
        <v>22</v>
      </c>
      <c r="G1427" t="s">
        <v>409</v>
      </c>
      <c r="H1427" t="s">
        <v>410</v>
      </c>
      <c r="I1427" t="s">
        <v>31</v>
      </c>
      <c r="J1427">
        <v>553</v>
      </c>
      <c r="K1427" t="s">
        <v>411</v>
      </c>
      <c r="N1427">
        <v>6</v>
      </c>
      <c r="O1427">
        <v>0.41039999999999999</v>
      </c>
      <c r="P1427" t="s">
        <v>38</v>
      </c>
      <c r="Q1427" s="1">
        <v>2</v>
      </c>
      <c r="R1427" t="s">
        <v>1272</v>
      </c>
      <c r="S1427" t="str">
        <f t="shared" si="9"/>
        <v>ok</v>
      </c>
    </row>
    <row r="1428" spans="1:19" hidden="1" x14ac:dyDescent="0.3">
      <c r="A1428" t="s">
        <v>1173</v>
      </c>
      <c r="B1428" t="s">
        <v>1174</v>
      </c>
      <c r="C1428" t="s">
        <v>1079</v>
      </c>
      <c r="D1428">
        <v>13535</v>
      </c>
      <c r="E1428" t="s">
        <v>771</v>
      </c>
      <c r="F1428" t="s">
        <v>60</v>
      </c>
      <c r="G1428" t="s">
        <v>772</v>
      </c>
      <c r="H1428" t="s">
        <v>773</v>
      </c>
      <c r="I1428" t="s">
        <v>31</v>
      </c>
      <c r="J1428">
        <v>234</v>
      </c>
      <c r="K1428" t="s">
        <v>774</v>
      </c>
      <c r="N1428">
        <v>7</v>
      </c>
      <c r="O1428">
        <v>0.40789999999999998</v>
      </c>
      <c r="P1428" t="s">
        <v>38</v>
      </c>
      <c r="Q1428" s="1">
        <v>2</v>
      </c>
      <c r="R1428" t="s">
        <v>1272</v>
      </c>
      <c r="S1428" t="str">
        <f t="shared" si="9"/>
        <v>ok</v>
      </c>
    </row>
    <row r="1429" spans="1:19" hidden="1" x14ac:dyDescent="0.3">
      <c r="A1429" t="s">
        <v>1173</v>
      </c>
      <c r="B1429" t="s">
        <v>1174</v>
      </c>
      <c r="C1429" t="s">
        <v>1079</v>
      </c>
      <c r="D1429">
        <v>16145</v>
      </c>
      <c r="E1429" t="s">
        <v>182</v>
      </c>
      <c r="F1429" t="s">
        <v>155</v>
      </c>
      <c r="G1429" t="s">
        <v>183</v>
      </c>
      <c r="H1429" t="s">
        <v>184</v>
      </c>
      <c r="I1429" t="s">
        <v>31</v>
      </c>
      <c r="J1429">
        <v>2447</v>
      </c>
      <c r="K1429" t="s">
        <v>185</v>
      </c>
      <c r="L1429">
        <v>7</v>
      </c>
      <c r="M1429">
        <v>10.499599999999999</v>
      </c>
      <c r="P1429" t="s">
        <v>33</v>
      </c>
      <c r="Q1429" s="1">
        <v>0</v>
      </c>
      <c r="R1429" t="s">
        <v>1272</v>
      </c>
      <c r="S1429" t="str">
        <f t="shared" si="9"/>
        <v>ko hợp</v>
      </c>
    </row>
    <row r="1430" spans="1:19" hidden="1" x14ac:dyDescent="0.3">
      <c r="A1430" t="s">
        <v>1173</v>
      </c>
      <c r="B1430" t="s">
        <v>1174</v>
      </c>
      <c r="C1430" t="s">
        <v>1079</v>
      </c>
      <c r="D1430">
        <v>12674</v>
      </c>
      <c r="E1430" t="s">
        <v>653</v>
      </c>
      <c r="F1430" t="s">
        <v>155</v>
      </c>
      <c r="G1430" t="s">
        <v>654</v>
      </c>
      <c r="H1430" t="s">
        <v>655</v>
      </c>
      <c r="I1430" t="s">
        <v>31</v>
      </c>
      <c r="J1430">
        <v>587</v>
      </c>
      <c r="K1430" t="s">
        <v>656</v>
      </c>
      <c r="L1430">
        <v>8</v>
      </c>
      <c r="M1430">
        <v>10.426299999999999</v>
      </c>
      <c r="P1430" t="s">
        <v>33</v>
      </c>
      <c r="Q1430" s="1">
        <v>0</v>
      </c>
      <c r="R1430" t="s">
        <v>1272</v>
      </c>
      <c r="S1430" t="str">
        <f t="shared" si="9"/>
        <v>ko hợp</v>
      </c>
    </row>
    <row r="1431" spans="1:19" hidden="1" x14ac:dyDescent="0.3">
      <c r="A1431" t="s">
        <v>1173</v>
      </c>
      <c r="B1431" t="s">
        <v>1174</v>
      </c>
      <c r="C1431" t="s">
        <v>1079</v>
      </c>
      <c r="D1431">
        <v>13674</v>
      </c>
      <c r="E1431" t="s">
        <v>78</v>
      </c>
      <c r="F1431" t="s">
        <v>22</v>
      </c>
      <c r="G1431" t="s">
        <v>79</v>
      </c>
      <c r="H1431" t="s">
        <v>80</v>
      </c>
      <c r="I1431" t="s">
        <v>31</v>
      </c>
      <c r="J1431">
        <v>1127</v>
      </c>
      <c r="K1431" t="s">
        <v>81</v>
      </c>
      <c r="N1431">
        <v>8</v>
      </c>
      <c r="O1431">
        <v>0.40639999999999998</v>
      </c>
      <c r="P1431" t="s">
        <v>38</v>
      </c>
      <c r="Q1431" s="1">
        <v>0</v>
      </c>
      <c r="R1431" t="s">
        <v>1272</v>
      </c>
      <c r="S1431" t="str">
        <f t="shared" si="9"/>
        <v>ko hợp</v>
      </c>
    </row>
    <row r="1432" spans="1:19" hidden="1" x14ac:dyDescent="0.3">
      <c r="A1432" t="s">
        <v>1173</v>
      </c>
      <c r="B1432" t="s">
        <v>1174</v>
      </c>
      <c r="C1432" t="s">
        <v>1079</v>
      </c>
      <c r="D1432">
        <v>12265</v>
      </c>
      <c r="E1432" t="s">
        <v>569</v>
      </c>
      <c r="F1432" t="s">
        <v>570</v>
      </c>
      <c r="G1432" t="s">
        <v>571</v>
      </c>
      <c r="H1432" t="s">
        <v>572</v>
      </c>
      <c r="I1432" t="s">
        <v>31</v>
      </c>
      <c r="J1432">
        <v>227</v>
      </c>
      <c r="K1432" t="s">
        <v>573</v>
      </c>
      <c r="L1432">
        <v>9</v>
      </c>
      <c r="M1432">
        <v>9.9572000000000003</v>
      </c>
      <c r="P1432" t="s">
        <v>33</v>
      </c>
      <c r="Q1432" s="1">
        <v>0</v>
      </c>
      <c r="R1432" t="s">
        <v>1272</v>
      </c>
      <c r="S1432" t="str">
        <f t="shared" si="9"/>
        <v>ko hợp</v>
      </c>
    </row>
    <row r="1433" spans="1:19" hidden="1" x14ac:dyDescent="0.3">
      <c r="A1433" t="s">
        <v>1173</v>
      </c>
      <c r="B1433" t="s">
        <v>1174</v>
      </c>
      <c r="C1433" t="s">
        <v>1079</v>
      </c>
      <c r="D1433">
        <v>18885</v>
      </c>
      <c r="E1433" t="s">
        <v>86</v>
      </c>
      <c r="F1433" t="s">
        <v>60</v>
      </c>
      <c r="G1433" t="s">
        <v>87</v>
      </c>
      <c r="H1433" t="s">
        <v>88</v>
      </c>
      <c r="I1433" t="s">
        <v>31</v>
      </c>
      <c r="J1433">
        <v>596</v>
      </c>
      <c r="K1433" t="s">
        <v>89</v>
      </c>
      <c r="N1433">
        <v>9</v>
      </c>
      <c r="O1433">
        <v>0.40139999999999998</v>
      </c>
      <c r="P1433" t="s">
        <v>38</v>
      </c>
      <c r="Q1433" s="1">
        <v>0</v>
      </c>
      <c r="R1433" t="s">
        <v>1272</v>
      </c>
      <c r="S1433" t="str">
        <f t="shared" si="9"/>
        <v>ko hợp</v>
      </c>
    </row>
    <row r="1434" spans="1:19" hidden="1" x14ac:dyDescent="0.3">
      <c r="A1434" t="s">
        <v>1173</v>
      </c>
      <c r="B1434" t="s">
        <v>1174</v>
      </c>
      <c r="C1434" t="s">
        <v>1079</v>
      </c>
      <c r="D1434">
        <v>16838</v>
      </c>
      <c r="E1434" t="s">
        <v>129</v>
      </c>
      <c r="F1434" t="s">
        <v>60</v>
      </c>
      <c r="G1434" t="s">
        <v>130</v>
      </c>
      <c r="H1434" t="s">
        <v>131</v>
      </c>
      <c r="I1434" t="s">
        <v>31</v>
      </c>
      <c r="J1434">
        <v>3435</v>
      </c>
      <c r="K1434" t="s">
        <v>132</v>
      </c>
      <c r="L1434">
        <v>10</v>
      </c>
      <c r="M1434">
        <v>9.9486000000000008</v>
      </c>
      <c r="P1434" t="s">
        <v>33</v>
      </c>
      <c r="Q1434" s="1">
        <v>0</v>
      </c>
      <c r="R1434" t="s">
        <v>1272</v>
      </c>
      <c r="S1434" t="str">
        <f t="shared" si="9"/>
        <v>ko hợp</v>
      </c>
    </row>
    <row r="1435" spans="1:19" hidden="1" x14ac:dyDescent="0.3">
      <c r="A1435" t="s">
        <v>1175</v>
      </c>
      <c r="B1435" t="s">
        <v>1176</v>
      </c>
      <c r="C1435" t="s">
        <v>1079</v>
      </c>
      <c r="D1435">
        <v>2385</v>
      </c>
      <c r="E1435" t="s">
        <v>284</v>
      </c>
      <c r="F1435" t="s">
        <v>60</v>
      </c>
      <c r="G1435" t="s">
        <v>41</v>
      </c>
      <c r="H1435" t="s">
        <v>285</v>
      </c>
      <c r="I1435" t="s">
        <v>25</v>
      </c>
      <c r="J1435">
        <v>1160</v>
      </c>
      <c r="K1435" t="s">
        <v>286</v>
      </c>
      <c r="N1435">
        <v>1</v>
      </c>
      <c r="O1435">
        <v>0.45079999999999998</v>
      </c>
      <c r="P1435" t="s">
        <v>38</v>
      </c>
      <c r="Q1435" s="1">
        <v>0</v>
      </c>
      <c r="R1435" t="s">
        <v>1272</v>
      </c>
      <c r="S1435" t="str">
        <f t="shared" si="9"/>
        <v>ko hợp</v>
      </c>
    </row>
    <row r="1436" spans="1:19" hidden="1" x14ac:dyDescent="0.3">
      <c r="A1436" t="s">
        <v>1175</v>
      </c>
      <c r="B1436" t="s">
        <v>1176</v>
      </c>
      <c r="C1436" t="s">
        <v>1079</v>
      </c>
      <c r="D1436">
        <v>16145</v>
      </c>
      <c r="E1436" t="s">
        <v>182</v>
      </c>
      <c r="F1436" t="s">
        <v>155</v>
      </c>
      <c r="G1436" t="s">
        <v>183</v>
      </c>
      <c r="H1436" t="s">
        <v>184</v>
      </c>
      <c r="I1436" t="s">
        <v>31</v>
      </c>
      <c r="J1436">
        <v>2447</v>
      </c>
      <c r="K1436" t="s">
        <v>185</v>
      </c>
      <c r="L1436">
        <v>1</v>
      </c>
      <c r="M1436">
        <v>16.752600000000001</v>
      </c>
      <c r="P1436" t="s">
        <v>33</v>
      </c>
      <c r="Q1436" s="1">
        <v>0</v>
      </c>
      <c r="R1436" t="s">
        <v>1272</v>
      </c>
      <c r="S1436" t="str">
        <f t="shared" si="9"/>
        <v>ko hợp</v>
      </c>
    </row>
    <row r="1437" spans="1:19" hidden="1" x14ac:dyDescent="0.3">
      <c r="A1437" t="s">
        <v>1175</v>
      </c>
      <c r="B1437" t="s">
        <v>1176</v>
      </c>
      <c r="C1437" t="s">
        <v>1079</v>
      </c>
      <c r="D1437">
        <v>15045</v>
      </c>
      <c r="E1437" t="s">
        <v>519</v>
      </c>
      <c r="F1437" t="s">
        <v>60</v>
      </c>
      <c r="G1437" t="s">
        <v>520</v>
      </c>
      <c r="H1437" t="s">
        <v>521</v>
      </c>
      <c r="I1437" t="s">
        <v>352</v>
      </c>
      <c r="J1437">
        <v>1756</v>
      </c>
      <c r="K1437" t="s">
        <v>522</v>
      </c>
      <c r="L1437">
        <v>2</v>
      </c>
      <c r="M1437">
        <v>14.178800000000001</v>
      </c>
      <c r="P1437" t="s">
        <v>33</v>
      </c>
      <c r="Q1437" s="1">
        <v>0</v>
      </c>
      <c r="R1437" t="s">
        <v>1272</v>
      </c>
      <c r="S1437" t="str">
        <f t="shared" si="9"/>
        <v>ko hợp</v>
      </c>
    </row>
    <row r="1438" spans="1:19" hidden="1" x14ac:dyDescent="0.3">
      <c r="A1438" t="s">
        <v>1175</v>
      </c>
      <c r="B1438" t="s">
        <v>1176</v>
      </c>
      <c r="C1438" t="s">
        <v>1079</v>
      </c>
      <c r="D1438">
        <v>20532</v>
      </c>
      <c r="E1438" t="s">
        <v>221</v>
      </c>
      <c r="F1438" t="s">
        <v>222</v>
      </c>
      <c r="G1438" t="s">
        <v>41</v>
      </c>
      <c r="H1438" t="s">
        <v>223</v>
      </c>
      <c r="I1438" t="s">
        <v>25</v>
      </c>
      <c r="J1438">
        <v>1105</v>
      </c>
      <c r="K1438" t="s">
        <v>224</v>
      </c>
      <c r="L1438">
        <v>5</v>
      </c>
      <c r="M1438">
        <v>11.6043</v>
      </c>
      <c r="N1438">
        <v>2</v>
      </c>
      <c r="O1438">
        <v>0.4501</v>
      </c>
      <c r="P1438" t="s">
        <v>27</v>
      </c>
      <c r="Q1438" s="1">
        <v>2</v>
      </c>
      <c r="R1438" t="s">
        <v>1272</v>
      </c>
      <c r="S1438" t="str">
        <f t="shared" si="9"/>
        <v>ok</v>
      </c>
    </row>
    <row r="1439" spans="1:19" hidden="1" x14ac:dyDescent="0.3">
      <c r="A1439" t="s">
        <v>1175</v>
      </c>
      <c r="B1439" t="s">
        <v>1176</v>
      </c>
      <c r="C1439" t="s">
        <v>1079</v>
      </c>
      <c r="D1439">
        <v>18885</v>
      </c>
      <c r="E1439" t="s">
        <v>86</v>
      </c>
      <c r="F1439" t="s">
        <v>60</v>
      </c>
      <c r="G1439" t="s">
        <v>87</v>
      </c>
      <c r="H1439" t="s">
        <v>88</v>
      </c>
      <c r="I1439" t="s">
        <v>31</v>
      </c>
      <c r="J1439">
        <v>596</v>
      </c>
      <c r="K1439" t="s">
        <v>89</v>
      </c>
      <c r="N1439">
        <v>3</v>
      </c>
      <c r="O1439">
        <v>0.4219</v>
      </c>
      <c r="P1439" t="s">
        <v>38</v>
      </c>
      <c r="Q1439" s="1">
        <v>1</v>
      </c>
      <c r="R1439" t="s">
        <v>1272</v>
      </c>
      <c r="S1439" t="str">
        <f t="shared" si="9"/>
        <v>Phù hợp 1 phần</v>
      </c>
    </row>
    <row r="1440" spans="1:19" hidden="1" x14ac:dyDescent="0.3">
      <c r="A1440" t="s">
        <v>1175</v>
      </c>
      <c r="B1440" t="s">
        <v>1176</v>
      </c>
      <c r="C1440" t="s">
        <v>1079</v>
      </c>
      <c r="D1440">
        <v>19735</v>
      </c>
      <c r="E1440" t="s">
        <v>827</v>
      </c>
      <c r="F1440" t="s">
        <v>828</v>
      </c>
      <c r="G1440" t="s">
        <v>829</v>
      </c>
      <c r="H1440" t="s">
        <v>830</v>
      </c>
      <c r="I1440" t="s">
        <v>25</v>
      </c>
      <c r="J1440">
        <v>559</v>
      </c>
      <c r="K1440" t="s">
        <v>831</v>
      </c>
      <c r="L1440">
        <v>3</v>
      </c>
      <c r="M1440">
        <v>13.949400000000001</v>
      </c>
      <c r="P1440" t="s">
        <v>33</v>
      </c>
      <c r="Q1440" s="1">
        <v>1</v>
      </c>
      <c r="R1440" t="s">
        <v>1272</v>
      </c>
      <c r="S1440" t="str">
        <f t="shared" si="9"/>
        <v>Phù hợp 1 phần</v>
      </c>
    </row>
    <row r="1441" spans="1:19" hidden="1" x14ac:dyDescent="0.3">
      <c r="A1441" t="s">
        <v>1175</v>
      </c>
      <c r="B1441" t="s">
        <v>1176</v>
      </c>
      <c r="C1441" t="s">
        <v>1079</v>
      </c>
      <c r="D1441">
        <v>10623</v>
      </c>
      <c r="E1441" t="s">
        <v>817</v>
      </c>
      <c r="F1441" t="s">
        <v>74</v>
      </c>
      <c r="G1441" t="s">
        <v>818</v>
      </c>
      <c r="H1441" t="s">
        <v>819</v>
      </c>
      <c r="I1441" t="s">
        <v>25</v>
      </c>
      <c r="J1441">
        <v>578</v>
      </c>
      <c r="K1441" t="s">
        <v>820</v>
      </c>
      <c r="L1441">
        <v>4</v>
      </c>
      <c r="M1441">
        <v>12.3316</v>
      </c>
      <c r="P1441" t="s">
        <v>33</v>
      </c>
      <c r="Q1441" s="1">
        <v>0</v>
      </c>
      <c r="R1441" t="s">
        <v>1272</v>
      </c>
      <c r="S1441" t="str">
        <f t="shared" si="9"/>
        <v>ko hợp</v>
      </c>
    </row>
    <row r="1442" spans="1:19" hidden="1" x14ac:dyDescent="0.3">
      <c r="A1442" t="s">
        <v>1175</v>
      </c>
      <c r="B1442" t="s">
        <v>1176</v>
      </c>
      <c r="C1442" t="s">
        <v>1079</v>
      </c>
      <c r="D1442">
        <v>13237</v>
      </c>
      <c r="E1442" t="s">
        <v>137</v>
      </c>
      <c r="F1442" t="s">
        <v>60</v>
      </c>
      <c r="G1442" t="s">
        <v>138</v>
      </c>
      <c r="H1442" t="s">
        <v>139</v>
      </c>
      <c r="I1442" t="s">
        <v>31</v>
      </c>
      <c r="J1442">
        <v>1213</v>
      </c>
      <c r="K1442" t="s">
        <v>140</v>
      </c>
      <c r="N1442">
        <v>4</v>
      </c>
      <c r="O1442">
        <v>0.41849999999999998</v>
      </c>
      <c r="P1442" t="s">
        <v>38</v>
      </c>
      <c r="Q1442" s="1">
        <v>1</v>
      </c>
      <c r="R1442" t="s">
        <v>1272</v>
      </c>
      <c r="S1442" t="str">
        <f t="shared" si="9"/>
        <v>Phù hợp 1 phần</v>
      </c>
    </row>
    <row r="1443" spans="1:19" hidden="1" x14ac:dyDescent="0.3">
      <c r="A1443" t="s">
        <v>1175</v>
      </c>
      <c r="B1443" t="s">
        <v>1176</v>
      </c>
      <c r="C1443" t="s">
        <v>1079</v>
      </c>
      <c r="D1443">
        <v>20481</v>
      </c>
      <c r="E1443" t="s">
        <v>574</v>
      </c>
      <c r="F1443" t="s">
        <v>575</v>
      </c>
      <c r="G1443" t="s">
        <v>41</v>
      </c>
      <c r="H1443" t="s">
        <v>576</v>
      </c>
      <c r="I1443" t="s">
        <v>25</v>
      </c>
      <c r="J1443">
        <v>1141</v>
      </c>
      <c r="K1443" t="s">
        <v>577</v>
      </c>
      <c r="N1443">
        <v>5</v>
      </c>
      <c r="O1443">
        <v>0.41689999999999999</v>
      </c>
      <c r="P1443" t="s">
        <v>38</v>
      </c>
      <c r="Q1443" s="1">
        <v>0</v>
      </c>
      <c r="R1443" t="s">
        <v>1272</v>
      </c>
      <c r="S1443" t="str">
        <f t="shared" si="9"/>
        <v>ko hợp</v>
      </c>
    </row>
    <row r="1444" spans="1:19" hidden="1" x14ac:dyDescent="0.3">
      <c r="A1444" t="s">
        <v>1175</v>
      </c>
      <c r="B1444" t="s">
        <v>1176</v>
      </c>
      <c r="C1444" t="s">
        <v>1079</v>
      </c>
      <c r="D1444">
        <v>13561</v>
      </c>
      <c r="E1444" t="s">
        <v>832</v>
      </c>
      <c r="F1444" t="s">
        <v>60</v>
      </c>
      <c r="G1444" t="s">
        <v>833</v>
      </c>
      <c r="H1444" t="s">
        <v>834</v>
      </c>
      <c r="I1444" t="s">
        <v>31</v>
      </c>
      <c r="J1444">
        <v>498</v>
      </c>
      <c r="K1444" t="s">
        <v>835</v>
      </c>
      <c r="N1444">
        <v>6</v>
      </c>
      <c r="O1444">
        <v>0.4168</v>
      </c>
      <c r="P1444" t="s">
        <v>38</v>
      </c>
      <c r="Q1444" s="1">
        <v>0</v>
      </c>
      <c r="R1444" t="s">
        <v>1272</v>
      </c>
      <c r="S1444" t="str">
        <f t="shared" si="9"/>
        <v>ko hợp</v>
      </c>
    </row>
    <row r="1445" spans="1:19" hidden="1" x14ac:dyDescent="0.3">
      <c r="A1445" t="s">
        <v>1175</v>
      </c>
      <c r="B1445" t="s">
        <v>1176</v>
      </c>
      <c r="C1445" t="s">
        <v>1079</v>
      </c>
      <c r="D1445">
        <v>18937</v>
      </c>
      <c r="E1445" t="s">
        <v>68</v>
      </c>
      <c r="F1445" t="s">
        <v>69</v>
      </c>
      <c r="G1445" t="s">
        <v>70</v>
      </c>
      <c r="H1445" t="s">
        <v>71</v>
      </c>
      <c r="I1445" t="s">
        <v>31</v>
      </c>
      <c r="J1445">
        <v>3317</v>
      </c>
      <c r="K1445" t="s">
        <v>72</v>
      </c>
      <c r="L1445">
        <v>6</v>
      </c>
      <c r="M1445">
        <v>11.425700000000001</v>
      </c>
      <c r="P1445" t="s">
        <v>33</v>
      </c>
      <c r="Q1445" s="1">
        <v>0</v>
      </c>
      <c r="R1445" t="s">
        <v>1272</v>
      </c>
      <c r="S1445" t="str">
        <f t="shared" si="9"/>
        <v>ko hợp</v>
      </c>
    </row>
    <row r="1446" spans="1:19" hidden="1" x14ac:dyDescent="0.3">
      <c r="A1446" t="s">
        <v>1175</v>
      </c>
      <c r="B1446" t="s">
        <v>1176</v>
      </c>
      <c r="C1446" t="s">
        <v>1079</v>
      </c>
      <c r="D1446">
        <v>19676</v>
      </c>
      <c r="E1446" t="s">
        <v>544</v>
      </c>
      <c r="F1446" t="s">
        <v>545</v>
      </c>
      <c r="G1446" t="s">
        <v>41</v>
      </c>
      <c r="H1446" t="s">
        <v>546</v>
      </c>
      <c r="I1446" t="s">
        <v>25</v>
      </c>
      <c r="J1446">
        <v>907</v>
      </c>
      <c r="K1446" t="s">
        <v>547</v>
      </c>
      <c r="L1446">
        <v>7</v>
      </c>
      <c r="M1446">
        <v>11.2232</v>
      </c>
      <c r="P1446" t="s">
        <v>33</v>
      </c>
      <c r="Q1446" s="1">
        <v>1</v>
      </c>
      <c r="R1446" t="s">
        <v>1272</v>
      </c>
      <c r="S1446" t="str">
        <f t="shared" si="9"/>
        <v>Phù hợp 1 phần</v>
      </c>
    </row>
    <row r="1447" spans="1:19" hidden="1" x14ac:dyDescent="0.3">
      <c r="A1447" t="s">
        <v>1175</v>
      </c>
      <c r="B1447" t="s">
        <v>1176</v>
      </c>
      <c r="C1447" t="s">
        <v>1079</v>
      </c>
      <c r="D1447">
        <v>20799</v>
      </c>
      <c r="E1447" t="s">
        <v>493</v>
      </c>
      <c r="F1447" t="s">
        <v>494</v>
      </c>
      <c r="G1447" t="s">
        <v>495</v>
      </c>
      <c r="H1447" t="s">
        <v>496</v>
      </c>
      <c r="I1447" t="s">
        <v>25</v>
      </c>
      <c r="J1447">
        <v>575</v>
      </c>
      <c r="K1447" t="s">
        <v>497</v>
      </c>
      <c r="N1447">
        <v>7</v>
      </c>
      <c r="O1447">
        <v>0.4138</v>
      </c>
      <c r="P1447" t="s">
        <v>38</v>
      </c>
      <c r="Q1447" s="1">
        <v>1</v>
      </c>
      <c r="R1447" t="s">
        <v>1272</v>
      </c>
      <c r="S1447" t="str">
        <f t="shared" si="9"/>
        <v>Phù hợp 1 phần</v>
      </c>
    </row>
    <row r="1448" spans="1:19" hidden="1" x14ac:dyDescent="0.3">
      <c r="A1448" t="s">
        <v>1175</v>
      </c>
      <c r="B1448" t="s">
        <v>1176</v>
      </c>
      <c r="C1448" t="s">
        <v>1079</v>
      </c>
      <c r="D1448">
        <v>12188</v>
      </c>
      <c r="E1448" t="s">
        <v>680</v>
      </c>
      <c r="F1448" t="s">
        <v>668</v>
      </c>
      <c r="G1448" t="s">
        <v>681</v>
      </c>
      <c r="H1448" t="s">
        <v>682</v>
      </c>
      <c r="I1448" t="s">
        <v>31</v>
      </c>
      <c r="J1448">
        <v>637</v>
      </c>
      <c r="K1448" t="s">
        <v>683</v>
      </c>
      <c r="N1448">
        <v>8</v>
      </c>
      <c r="O1448">
        <v>0.40450000000000003</v>
      </c>
      <c r="P1448" t="s">
        <v>38</v>
      </c>
      <c r="Q1448" s="1">
        <v>0</v>
      </c>
      <c r="R1448" t="s">
        <v>1272</v>
      </c>
      <c r="S1448" t="str">
        <f t="shared" si="9"/>
        <v>ko hợp</v>
      </c>
    </row>
    <row r="1449" spans="1:19" hidden="1" x14ac:dyDescent="0.3">
      <c r="A1449" t="s">
        <v>1175</v>
      </c>
      <c r="B1449" t="s">
        <v>1176</v>
      </c>
      <c r="C1449" t="s">
        <v>1079</v>
      </c>
      <c r="D1449">
        <v>20772</v>
      </c>
      <c r="E1449" t="s">
        <v>292</v>
      </c>
      <c r="F1449" t="s">
        <v>293</v>
      </c>
      <c r="G1449" t="s">
        <v>41</v>
      </c>
      <c r="H1449" t="s">
        <v>294</v>
      </c>
      <c r="I1449" t="s">
        <v>25</v>
      </c>
      <c r="J1449">
        <v>787</v>
      </c>
      <c r="K1449" t="s">
        <v>295</v>
      </c>
      <c r="L1449">
        <v>8</v>
      </c>
      <c r="M1449">
        <v>10.9816</v>
      </c>
      <c r="P1449" t="s">
        <v>33</v>
      </c>
      <c r="Q1449" s="1">
        <v>0</v>
      </c>
      <c r="R1449" t="s">
        <v>1272</v>
      </c>
      <c r="S1449" t="str">
        <f t="shared" si="9"/>
        <v>ko hợp</v>
      </c>
    </row>
    <row r="1450" spans="1:19" hidden="1" x14ac:dyDescent="0.3">
      <c r="A1450" t="s">
        <v>1175</v>
      </c>
      <c r="B1450" t="s">
        <v>1176</v>
      </c>
      <c r="C1450" t="s">
        <v>1079</v>
      </c>
      <c r="D1450">
        <v>4646</v>
      </c>
      <c r="E1450" t="s">
        <v>528</v>
      </c>
      <c r="F1450" t="s">
        <v>60</v>
      </c>
      <c r="G1450" t="s">
        <v>529</v>
      </c>
      <c r="H1450" t="s">
        <v>530</v>
      </c>
      <c r="I1450" t="s">
        <v>25</v>
      </c>
      <c r="J1450">
        <v>734</v>
      </c>
      <c r="K1450" t="s">
        <v>531</v>
      </c>
      <c r="L1450">
        <v>9</v>
      </c>
      <c r="M1450">
        <v>10.971500000000001</v>
      </c>
      <c r="P1450" t="s">
        <v>33</v>
      </c>
      <c r="Q1450" s="1">
        <v>1</v>
      </c>
      <c r="R1450" t="s">
        <v>1272</v>
      </c>
      <c r="S1450" t="str">
        <f t="shared" si="9"/>
        <v>Phù hợp 1 phần</v>
      </c>
    </row>
    <row r="1451" spans="1:19" hidden="1" x14ac:dyDescent="0.3">
      <c r="A1451" t="s">
        <v>1175</v>
      </c>
      <c r="B1451" t="s">
        <v>1176</v>
      </c>
      <c r="C1451" t="s">
        <v>1079</v>
      </c>
      <c r="D1451">
        <v>20479</v>
      </c>
      <c r="E1451" t="s">
        <v>1002</v>
      </c>
      <c r="F1451" t="s">
        <v>1003</v>
      </c>
      <c r="G1451" t="s">
        <v>41</v>
      </c>
      <c r="H1451" t="s">
        <v>1004</v>
      </c>
      <c r="I1451" t="s">
        <v>25</v>
      </c>
      <c r="J1451">
        <v>576</v>
      </c>
      <c r="K1451" t="s">
        <v>1005</v>
      </c>
      <c r="L1451">
        <v>10</v>
      </c>
      <c r="M1451">
        <v>10.867599999999999</v>
      </c>
      <c r="N1451">
        <v>9</v>
      </c>
      <c r="O1451">
        <v>0.4017</v>
      </c>
      <c r="P1451" t="s">
        <v>27</v>
      </c>
      <c r="Q1451" s="1">
        <v>0</v>
      </c>
      <c r="R1451" t="s">
        <v>1272</v>
      </c>
      <c r="S1451" t="str">
        <f t="shared" si="9"/>
        <v>ko hợp</v>
      </c>
    </row>
    <row r="1452" spans="1:19" hidden="1" x14ac:dyDescent="0.3">
      <c r="A1452" t="s">
        <v>1175</v>
      </c>
      <c r="B1452" t="s">
        <v>1176</v>
      </c>
      <c r="C1452" t="s">
        <v>1079</v>
      </c>
      <c r="D1452">
        <v>13623</v>
      </c>
      <c r="E1452" t="s">
        <v>548</v>
      </c>
      <c r="F1452" t="s">
        <v>60</v>
      </c>
      <c r="G1452" t="s">
        <v>318</v>
      </c>
      <c r="H1452" t="s">
        <v>549</v>
      </c>
      <c r="I1452" t="s">
        <v>31</v>
      </c>
      <c r="J1452">
        <v>509</v>
      </c>
      <c r="K1452" t="s">
        <v>550</v>
      </c>
      <c r="N1452">
        <v>10</v>
      </c>
      <c r="O1452">
        <v>0.39939999999999998</v>
      </c>
      <c r="P1452" t="s">
        <v>38</v>
      </c>
      <c r="Q1452" s="1">
        <v>0</v>
      </c>
      <c r="R1452" t="s">
        <v>1272</v>
      </c>
      <c r="S1452" t="str">
        <f t="shared" si="9"/>
        <v>ko hợp</v>
      </c>
    </row>
    <row r="1453" spans="1:19" hidden="1" x14ac:dyDescent="0.3">
      <c r="A1453" t="s">
        <v>1177</v>
      </c>
      <c r="B1453" t="s">
        <v>1178</v>
      </c>
      <c r="C1453" t="s">
        <v>1079</v>
      </c>
      <c r="D1453">
        <v>1063</v>
      </c>
      <c r="E1453" t="s">
        <v>866</v>
      </c>
      <c r="F1453" t="s">
        <v>155</v>
      </c>
      <c r="G1453" t="s">
        <v>867</v>
      </c>
      <c r="H1453" t="s">
        <v>868</v>
      </c>
      <c r="I1453" t="s">
        <v>25</v>
      </c>
      <c r="J1453">
        <v>224</v>
      </c>
      <c r="K1453" t="s">
        <v>869</v>
      </c>
      <c r="N1453">
        <v>1</v>
      </c>
      <c r="O1453">
        <v>0.48070000000000002</v>
      </c>
      <c r="P1453" t="s">
        <v>38</v>
      </c>
      <c r="Q1453" s="1">
        <v>1</v>
      </c>
      <c r="R1453" t="s">
        <v>1272</v>
      </c>
      <c r="S1453" t="str">
        <f t="shared" si="9"/>
        <v>Phù hợp 1 phần</v>
      </c>
    </row>
    <row r="1454" spans="1:19" hidden="1" x14ac:dyDescent="0.3">
      <c r="A1454" t="s">
        <v>1177</v>
      </c>
      <c r="B1454" t="s">
        <v>1178</v>
      </c>
      <c r="C1454" t="s">
        <v>1079</v>
      </c>
      <c r="D1454">
        <v>20772</v>
      </c>
      <c r="E1454" t="s">
        <v>292</v>
      </c>
      <c r="F1454" t="s">
        <v>293</v>
      </c>
      <c r="G1454" t="s">
        <v>41</v>
      </c>
      <c r="H1454" t="s">
        <v>294</v>
      </c>
      <c r="I1454" t="s">
        <v>25</v>
      </c>
      <c r="J1454">
        <v>787</v>
      </c>
      <c r="K1454" t="s">
        <v>295</v>
      </c>
      <c r="L1454">
        <v>1</v>
      </c>
      <c r="M1454">
        <v>15.5631</v>
      </c>
      <c r="P1454" t="s">
        <v>33</v>
      </c>
      <c r="Q1454" s="1">
        <v>0</v>
      </c>
      <c r="R1454" t="s">
        <v>1272</v>
      </c>
      <c r="S1454" t="str">
        <f t="shared" si="9"/>
        <v>ko hợp</v>
      </c>
    </row>
    <row r="1455" spans="1:19" hidden="1" x14ac:dyDescent="0.3">
      <c r="A1455" t="s">
        <v>1177</v>
      </c>
      <c r="B1455" t="s">
        <v>1178</v>
      </c>
      <c r="C1455" t="s">
        <v>1079</v>
      </c>
      <c r="D1455">
        <v>15013</v>
      </c>
      <c r="E1455" t="s">
        <v>59</v>
      </c>
      <c r="F1455" t="s">
        <v>60</v>
      </c>
      <c r="G1455" t="s">
        <v>61</v>
      </c>
      <c r="H1455" t="s">
        <v>62</v>
      </c>
      <c r="I1455" t="s">
        <v>25</v>
      </c>
      <c r="J1455">
        <v>550</v>
      </c>
      <c r="K1455" t="s">
        <v>63</v>
      </c>
      <c r="N1455">
        <v>2</v>
      </c>
      <c r="O1455">
        <v>0.45910000000000001</v>
      </c>
      <c r="P1455" t="s">
        <v>38</v>
      </c>
      <c r="Q1455" s="1">
        <v>1</v>
      </c>
      <c r="R1455" t="s">
        <v>1272</v>
      </c>
      <c r="S1455" t="str">
        <f t="shared" si="9"/>
        <v>Phù hợp 1 phần</v>
      </c>
    </row>
    <row r="1456" spans="1:19" hidden="1" x14ac:dyDescent="0.3">
      <c r="A1456" t="s">
        <v>1177</v>
      </c>
      <c r="B1456" t="s">
        <v>1178</v>
      </c>
      <c r="C1456" t="s">
        <v>1079</v>
      </c>
      <c r="D1456">
        <v>18937</v>
      </c>
      <c r="E1456" t="s">
        <v>68</v>
      </c>
      <c r="F1456" t="s">
        <v>69</v>
      </c>
      <c r="G1456" t="s">
        <v>70</v>
      </c>
      <c r="H1456" t="s">
        <v>71</v>
      </c>
      <c r="I1456" t="s">
        <v>31</v>
      </c>
      <c r="J1456">
        <v>3317</v>
      </c>
      <c r="K1456" t="s">
        <v>72</v>
      </c>
      <c r="L1456">
        <v>2</v>
      </c>
      <c r="M1456">
        <v>15.512700000000001</v>
      </c>
      <c r="P1456" t="s">
        <v>33</v>
      </c>
      <c r="Q1456" s="1">
        <v>0</v>
      </c>
      <c r="R1456" t="s">
        <v>1272</v>
      </c>
      <c r="S1456" t="str">
        <f t="shared" si="9"/>
        <v>ko hợp</v>
      </c>
    </row>
    <row r="1457" spans="1:19" hidden="1" x14ac:dyDescent="0.3">
      <c r="A1457" t="s">
        <v>1177</v>
      </c>
      <c r="B1457" t="s">
        <v>1178</v>
      </c>
      <c r="C1457" t="s">
        <v>1079</v>
      </c>
      <c r="D1457">
        <v>11242</v>
      </c>
      <c r="E1457" t="s">
        <v>1089</v>
      </c>
      <c r="F1457" t="s">
        <v>74</v>
      </c>
      <c r="G1457" t="s">
        <v>1090</v>
      </c>
      <c r="H1457" t="s">
        <v>1091</v>
      </c>
      <c r="I1457" t="s">
        <v>25</v>
      </c>
      <c r="J1457">
        <v>2655</v>
      </c>
      <c r="K1457" t="s">
        <v>1092</v>
      </c>
      <c r="N1457">
        <v>3</v>
      </c>
      <c r="O1457">
        <v>0.45879999999999999</v>
      </c>
      <c r="P1457" t="s">
        <v>38</v>
      </c>
      <c r="Q1457" s="1">
        <v>1</v>
      </c>
      <c r="R1457" t="s">
        <v>1272</v>
      </c>
      <c r="S1457" t="str">
        <f t="shared" si="9"/>
        <v>Phù hợp 1 phần</v>
      </c>
    </row>
    <row r="1458" spans="1:19" hidden="1" x14ac:dyDescent="0.3">
      <c r="A1458" t="s">
        <v>1177</v>
      </c>
      <c r="B1458" t="s">
        <v>1178</v>
      </c>
      <c r="C1458" t="s">
        <v>1079</v>
      </c>
      <c r="D1458">
        <v>16102</v>
      </c>
      <c r="E1458" t="s">
        <v>186</v>
      </c>
      <c r="F1458" t="s">
        <v>155</v>
      </c>
      <c r="G1458" t="s">
        <v>187</v>
      </c>
      <c r="H1458" t="s">
        <v>188</v>
      </c>
      <c r="I1458" t="s">
        <v>25</v>
      </c>
      <c r="J1458">
        <v>8766</v>
      </c>
      <c r="K1458" t="s">
        <v>189</v>
      </c>
      <c r="L1458">
        <v>3</v>
      </c>
      <c r="M1458">
        <v>13.5861</v>
      </c>
      <c r="P1458" t="s">
        <v>33</v>
      </c>
      <c r="Q1458" s="1">
        <v>1</v>
      </c>
      <c r="R1458" t="s">
        <v>1272</v>
      </c>
      <c r="S1458" t="str">
        <f t="shared" si="9"/>
        <v>Phù hợp 1 phần</v>
      </c>
    </row>
    <row r="1459" spans="1:19" hidden="1" x14ac:dyDescent="0.3">
      <c r="A1459" t="s">
        <v>1177</v>
      </c>
      <c r="B1459" t="s">
        <v>1178</v>
      </c>
      <c r="C1459" t="s">
        <v>1079</v>
      </c>
      <c r="D1459">
        <v>11464</v>
      </c>
      <c r="E1459" t="s">
        <v>463</v>
      </c>
      <c r="F1459" t="s">
        <v>60</v>
      </c>
      <c r="G1459" t="s">
        <v>464</v>
      </c>
      <c r="H1459" t="s">
        <v>465</v>
      </c>
      <c r="I1459" t="s">
        <v>31</v>
      </c>
      <c r="J1459">
        <v>695</v>
      </c>
      <c r="K1459" t="s">
        <v>466</v>
      </c>
      <c r="N1459">
        <v>4</v>
      </c>
      <c r="O1459">
        <v>0.45579999999999998</v>
      </c>
      <c r="P1459" t="s">
        <v>38</v>
      </c>
      <c r="Q1459" s="1">
        <v>0</v>
      </c>
      <c r="R1459" t="s">
        <v>1272</v>
      </c>
      <c r="S1459" t="str">
        <f t="shared" si="9"/>
        <v>ko hợp</v>
      </c>
    </row>
    <row r="1460" spans="1:19" hidden="1" x14ac:dyDescent="0.3">
      <c r="A1460" t="s">
        <v>1177</v>
      </c>
      <c r="B1460" t="s">
        <v>1178</v>
      </c>
      <c r="C1460" t="s">
        <v>1079</v>
      </c>
      <c r="D1460">
        <v>12247</v>
      </c>
      <c r="E1460" t="s">
        <v>1179</v>
      </c>
      <c r="F1460" t="s">
        <v>155</v>
      </c>
      <c r="G1460" t="s">
        <v>472</v>
      </c>
      <c r="H1460" t="s">
        <v>1180</v>
      </c>
      <c r="I1460" t="s">
        <v>31</v>
      </c>
      <c r="J1460">
        <v>1016</v>
      </c>
      <c r="K1460" t="s">
        <v>1181</v>
      </c>
      <c r="L1460">
        <v>4</v>
      </c>
      <c r="M1460">
        <v>12.488</v>
      </c>
      <c r="P1460" t="s">
        <v>33</v>
      </c>
      <c r="Q1460" s="1">
        <v>1</v>
      </c>
      <c r="R1460" t="s">
        <v>1272</v>
      </c>
      <c r="S1460" t="str">
        <f t="shared" si="9"/>
        <v>Phù hợp 1 phần</v>
      </c>
    </row>
    <row r="1461" spans="1:19" hidden="1" x14ac:dyDescent="0.3">
      <c r="A1461" t="s">
        <v>1177</v>
      </c>
      <c r="B1461" t="s">
        <v>1178</v>
      </c>
      <c r="C1461" t="s">
        <v>1079</v>
      </c>
      <c r="D1461">
        <v>15905</v>
      </c>
      <c r="E1461" t="s">
        <v>262</v>
      </c>
      <c r="F1461" t="s">
        <v>60</v>
      </c>
      <c r="G1461" t="s">
        <v>263</v>
      </c>
      <c r="H1461" t="s">
        <v>264</v>
      </c>
      <c r="I1461" t="s">
        <v>31</v>
      </c>
      <c r="J1461">
        <v>772</v>
      </c>
      <c r="K1461" t="s">
        <v>265</v>
      </c>
      <c r="L1461">
        <v>5</v>
      </c>
      <c r="M1461">
        <v>12.290900000000001</v>
      </c>
      <c r="P1461" t="s">
        <v>33</v>
      </c>
      <c r="Q1461" s="1">
        <v>0</v>
      </c>
      <c r="R1461" t="s">
        <v>1272</v>
      </c>
      <c r="S1461" t="str">
        <f t="shared" si="9"/>
        <v>ko hợp</v>
      </c>
    </row>
    <row r="1462" spans="1:19" hidden="1" x14ac:dyDescent="0.3">
      <c r="A1462" t="s">
        <v>1177</v>
      </c>
      <c r="B1462" t="s">
        <v>1178</v>
      </c>
      <c r="C1462" t="s">
        <v>1079</v>
      </c>
      <c r="D1462">
        <v>16100</v>
      </c>
      <c r="E1462" t="s">
        <v>732</v>
      </c>
      <c r="F1462" t="s">
        <v>155</v>
      </c>
      <c r="G1462" t="s">
        <v>472</v>
      </c>
      <c r="H1462" t="s">
        <v>733</v>
      </c>
      <c r="I1462" t="s">
        <v>31</v>
      </c>
      <c r="J1462">
        <v>1444</v>
      </c>
      <c r="K1462" t="s">
        <v>734</v>
      </c>
      <c r="N1462">
        <v>5</v>
      </c>
      <c r="O1462">
        <v>0.45040000000000002</v>
      </c>
      <c r="P1462" t="s">
        <v>38</v>
      </c>
      <c r="Q1462" s="1">
        <v>1</v>
      </c>
      <c r="R1462" t="s">
        <v>1272</v>
      </c>
      <c r="S1462" t="str">
        <f t="shared" si="9"/>
        <v>Phù hợp 1 phần</v>
      </c>
    </row>
    <row r="1463" spans="1:19" hidden="1" x14ac:dyDescent="0.3">
      <c r="A1463" t="s">
        <v>1177</v>
      </c>
      <c r="B1463" t="s">
        <v>1178</v>
      </c>
      <c r="C1463" t="s">
        <v>1079</v>
      </c>
      <c r="D1463">
        <v>19376</v>
      </c>
      <c r="E1463" t="s">
        <v>600</v>
      </c>
      <c r="F1463" t="s">
        <v>449</v>
      </c>
      <c r="G1463" t="s">
        <v>601</v>
      </c>
      <c r="H1463" t="s">
        <v>602</v>
      </c>
      <c r="I1463" t="s">
        <v>25</v>
      </c>
      <c r="J1463">
        <v>1405</v>
      </c>
      <c r="K1463" t="s">
        <v>603</v>
      </c>
      <c r="L1463">
        <v>6</v>
      </c>
      <c r="M1463">
        <v>12.007</v>
      </c>
      <c r="P1463" t="s">
        <v>33</v>
      </c>
      <c r="Q1463" s="1">
        <v>0</v>
      </c>
      <c r="R1463" t="s">
        <v>1272</v>
      </c>
      <c r="S1463" t="str">
        <f t="shared" si="9"/>
        <v>ko hợp</v>
      </c>
    </row>
    <row r="1464" spans="1:19" hidden="1" x14ac:dyDescent="0.3">
      <c r="A1464" t="s">
        <v>1177</v>
      </c>
      <c r="B1464" t="s">
        <v>1178</v>
      </c>
      <c r="C1464" t="s">
        <v>1079</v>
      </c>
      <c r="D1464">
        <v>20773</v>
      </c>
      <c r="E1464" t="s">
        <v>109</v>
      </c>
      <c r="F1464" t="s">
        <v>60</v>
      </c>
      <c r="G1464" t="s">
        <v>41</v>
      </c>
      <c r="H1464" t="s">
        <v>110</v>
      </c>
      <c r="I1464" t="s">
        <v>25</v>
      </c>
      <c r="J1464">
        <v>1156</v>
      </c>
      <c r="K1464" t="s">
        <v>111</v>
      </c>
      <c r="N1464">
        <v>6</v>
      </c>
      <c r="O1464">
        <v>0.44409999999999999</v>
      </c>
      <c r="P1464" t="s">
        <v>38</v>
      </c>
      <c r="Q1464" s="1">
        <v>0</v>
      </c>
      <c r="R1464" t="s">
        <v>1272</v>
      </c>
      <c r="S1464" t="str">
        <f t="shared" si="9"/>
        <v>ko hợp</v>
      </c>
    </row>
    <row r="1465" spans="1:19" hidden="1" x14ac:dyDescent="0.3">
      <c r="A1465" t="s">
        <v>1177</v>
      </c>
      <c r="B1465" t="s">
        <v>1178</v>
      </c>
      <c r="C1465" t="s">
        <v>1079</v>
      </c>
      <c r="D1465">
        <v>13514</v>
      </c>
      <c r="E1465" t="s">
        <v>64</v>
      </c>
      <c r="F1465" t="s">
        <v>60</v>
      </c>
      <c r="G1465" t="s">
        <v>65</v>
      </c>
      <c r="H1465" t="s">
        <v>66</v>
      </c>
      <c r="I1465" t="s">
        <v>31</v>
      </c>
      <c r="J1465">
        <v>587</v>
      </c>
      <c r="K1465" t="s">
        <v>67</v>
      </c>
      <c r="N1465">
        <v>7</v>
      </c>
      <c r="O1465">
        <v>0.44219999999999998</v>
      </c>
      <c r="P1465" t="s">
        <v>38</v>
      </c>
      <c r="Q1465" s="1">
        <v>0</v>
      </c>
      <c r="R1465" t="s">
        <v>1272</v>
      </c>
      <c r="S1465" t="str">
        <f t="shared" si="9"/>
        <v>ko hợp</v>
      </c>
    </row>
    <row r="1466" spans="1:19" hidden="1" x14ac:dyDescent="0.3">
      <c r="A1466" t="s">
        <v>1177</v>
      </c>
      <c r="B1466" t="s">
        <v>1178</v>
      </c>
      <c r="C1466" t="s">
        <v>1079</v>
      </c>
      <c r="D1466">
        <v>20734</v>
      </c>
      <c r="E1466" t="s">
        <v>555</v>
      </c>
      <c r="F1466" t="s">
        <v>556</v>
      </c>
      <c r="G1466" t="s">
        <v>557</v>
      </c>
      <c r="H1466" t="s">
        <v>558</v>
      </c>
      <c r="I1466" t="s">
        <v>25</v>
      </c>
      <c r="J1466">
        <v>509</v>
      </c>
      <c r="K1466" t="s">
        <v>559</v>
      </c>
      <c r="L1466">
        <v>7</v>
      </c>
      <c r="M1466">
        <v>11.989100000000001</v>
      </c>
      <c r="P1466" t="s">
        <v>33</v>
      </c>
      <c r="Q1466" s="1">
        <v>1</v>
      </c>
      <c r="R1466" t="s">
        <v>1272</v>
      </c>
      <c r="S1466" t="str">
        <f t="shared" si="9"/>
        <v>Phù hợp 1 phần</v>
      </c>
    </row>
    <row r="1467" spans="1:19" hidden="1" x14ac:dyDescent="0.3">
      <c r="A1467" t="s">
        <v>1177</v>
      </c>
      <c r="B1467" t="s">
        <v>1178</v>
      </c>
      <c r="C1467" t="s">
        <v>1079</v>
      </c>
      <c r="D1467">
        <v>1097</v>
      </c>
      <c r="E1467" t="s">
        <v>362</v>
      </c>
      <c r="F1467" t="s">
        <v>288</v>
      </c>
      <c r="G1467" t="s">
        <v>363</v>
      </c>
      <c r="H1467" t="s">
        <v>364</v>
      </c>
      <c r="I1467" t="s">
        <v>25</v>
      </c>
      <c r="J1467">
        <v>280</v>
      </c>
      <c r="K1467" t="s">
        <v>365</v>
      </c>
      <c r="L1467">
        <v>8</v>
      </c>
      <c r="M1467">
        <v>11.932600000000001</v>
      </c>
      <c r="P1467" t="s">
        <v>33</v>
      </c>
      <c r="Q1467" s="1">
        <v>1</v>
      </c>
      <c r="R1467" t="s">
        <v>1272</v>
      </c>
      <c r="S1467" t="str">
        <f t="shared" si="9"/>
        <v>Phù hợp 1 phần</v>
      </c>
    </row>
    <row r="1468" spans="1:19" hidden="1" x14ac:dyDescent="0.3">
      <c r="A1468" t="s">
        <v>1177</v>
      </c>
      <c r="B1468" t="s">
        <v>1178</v>
      </c>
      <c r="C1468" t="s">
        <v>1079</v>
      </c>
      <c r="D1468">
        <v>13905</v>
      </c>
      <c r="E1468" t="s">
        <v>935</v>
      </c>
      <c r="F1468" t="s">
        <v>60</v>
      </c>
      <c r="G1468" t="s">
        <v>936</v>
      </c>
      <c r="H1468" t="s">
        <v>937</v>
      </c>
      <c r="I1468" t="s">
        <v>31</v>
      </c>
      <c r="J1468">
        <v>591</v>
      </c>
      <c r="K1468" t="s">
        <v>938</v>
      </c>
      <c r="N1468">
        <v>8</v>
      </c>
      <c r="O1468">
        <v>0.43440000000000001</v>
      </c>
      <c r="P1468" t="s">
        <v>38</v>
      </c>
      <c r="Q1468" s="1">
        <v>1</v>
      </c>
      <c r="R1468" t="s">
        <v>1272</v>
      </c>
      <c r="S1468" t="str">
        <f t="shared" si="9"/>
        <v>Phù hợp 1 phần</v>
      </c>
    </row>
    <row r="1469" spans="1:19" hidden="1" x14ac:dyDescent="0.3">
      <c r="A1469" t="s">
        <v>1177</v>
      </c>
      <c r="B1469" t="s">
        <v>1178</v>
      </c>
      <c r="C1469" t="s">
        <v>1079</v>
      </c>
      <c r="D1469">
        <v>9821</v>
      </c>
      <c r="E1469" t="s">
        <v>21</v>
      </c>
      <c r="F1469" t="s">
        <v>22</v>
      </c>
      <c r="G1469" t="s">
        <v>23</v>
      </c>
      <c r="H1469" t="s">
        <v>24</v>
      </c>
      <c r="I1469" t="s">
        <v>25</v>
      </c>
      <c r="J1469">
        <v>998</v>
      </c>
      <c r="K1469" t="s">
        <v>26</v>
      </c>
      <c r="N1469">
        <v>9</v>
      </c>
      <c r="O1469">
        <v>0.43359999999999999</v>
      </c>
      <c r="P1469" t="s">
        <v>38</v>
      </c>
      <c r="Q1469" s="1">
        <v>1</v>
      </c>
      <c r="R1469" t="s">
        <v>1272</v>
      </c>
      <c r="S1469" t="str">
        <f t="shared" si="9"/>
        <v>Phù hợp 1 phần</v>
      </c>
    </row>
    <row r="1470" spans="1:19" hidden="1" x14ac:dyDescent="0.3">
      <c r="A1470" t="s">
        <v>1177</v>
      </c>
      <c r="B1470" t="s">
        <v>1178</v>
      </c>
      <c r="C1470" t="s">
        <v>1079</v>
      </c>
      <c r="D1470">
        <v>16145</v>
      </c>
      <c r="E1470" t="s">
        <v>182</v>
      </c>
      <c r="F1470" t="s">
        <v>155</v>
      </c>
      <c r="G1470" t="s">
        <v>183</v>
      </c>
      <c r="H1470" t="s">
        <v>184</v>
      </c>
      <c r="I1470" t="s">
        <v>31</v>
      </c>
      <c r="J1470">
        <v>2447</v>
      </c>
      <c r="K1470" t="s">
        <v>185</v>
      </c>
      <c r="L1470">
        <v>9</v>
      </c>
      <c r="M1470">
        <v>11.8179</v>
      </c>
      <c r="P1470" t="s">
        <v>33</v>
      </c>
      <c r="Q1470" s="1">
        <v>0</v>
      </c>
      <c r="R1470" t="s">
        <v>1272</v>
      </c>
      <c r="S1470" t="str">
        <f t="shared" si="9"/>
        <v>ko hợp</v>
      </c>
    </row>
    <row r="1471" spans="1:19" hidden="1" x14ac:dyDescent="0.3">
      <c r="A1471" t="s">
        <v>1177</v>
      </c>
      <c r="B1471" t="s">
        <v>1178</v>
      </c>
      <c r="C1471" t="s">
        <v>1079</v>
      </c>
      <c r="D1471">
        <v>18457</v>
      </c>
      <c r="E1471" t="s">
        <v>986</v>
      </c>
      <c r="F1471" t="s">
        <v>987</v>
      </c>
      <c r="G1471" t="s">
        <v>988</v>
      </c>
      <c r="H1471" t="s">
        <v>989</v>
      </c>
      <c r="I1471" t="s">
        <v>31</v>
      </c>
      <c r="J1471">
        <v>3005</v>
      </c>
      <c r="K1471" t="s">
        <v>990</v>
      </c>
      <c r="L1471">
        <v>10</v>
      </c>
      <c r="M1471">
        <v>11.788600000000001</v>
      </c>
      <c r="P1471" t="s">
        <v>33</v>
      </c>
      <c r="Q1471" s="1">
        <v>1</v>
      </c>
      <c r="R1471" t="s">
        <v>1272</v>
      </c>
      <c r="S1471" t="str">
        <f t="shared" si="9"/>
        <v>Phù hợp 1 phần</v>
      </c>
    </row>
    <row r="1472" spans="1:19" hidden="1" x14ac:dyDescent="0.3">
      <c r="A1472" t="s">
        <v>1177</v>
      </c>
      <c r="B1472" t="s">
        <v>1178</v>
      </c>
      <c r="C1472" t="s">
        <v>1079</v>
      </c>
      <c r="D1472">
        <v>20403</v>
      </c>
      <c r="E1472" t="s">
        <v>1182</v>
      </c>
      <c r="F1472" t="s">
        <v>842</v>
      </c>
      <c r="G1472" t="s">
        <v>41</v>
      </c>
      <c r="H1472" t="s">
        <v>1183</v>
      </c>
      <c r="I1472" t="s">
        <v>25</v>
      </c>
      <c r="J1472">
        <v>773</v>
      </c>
      <c r="K1472" t="s">
        <v>1184</v>
      </c>
      <c r="N1472">
        <v>10</v>
      </c>
      <c r="O1472">
        <v>0.43209999999999998</v>
      </c>
      <c r="P1472" t="s">
        <v>38</v>
      </c>
      <c r="Q1472" s="1">
        <v>0</v>
      </c>
      <c r="R1472" t="s">
        <v>1272</v>
      </c>
      <c r="S1472" t="str">
        <f t="shared" si="9"/>
        <v>ko hợp</v>
      </c>
    </row>
    <row r="1473" spans="1:19" hidden="1" x14ac:dyDescent="0.3">
      <c r="A1473" t="s">
        <v>1185</v>
      </c>
      <c r="B1473" t="s">
        <v>1186</v>
      </c>
      <c r="C1473" t="s">
        <v>1079</v>
      </c>
      <c r="D1473">
        <v>14198</v>
      </c>
      <c r="E1473" t="s">
        <v>73</v>
      </c>
      <c r="F1473" t="s">
        <v>74</v>
      </c>
      <c r="G1473" t="s">
        <v>75</v>
      </c>
      <c r="H1473" t="s">
        <v>76</v>
      </c>
      <c r="I1473" t="s">
        <v>31</v>
      </c>
      <c r="J1473">
        <v>377</v>
      </c>
      <c r="K1473" t="s">
        <v>77</v>
      </c>
      <c r="L1473">
        <v>1</v>
      </c>
      <c r="M1473">
        <v>20.5792</v>
      </c>
      <c r="P1473" t="s">
        <v>33</v>
      </c>
      <c r="Q1473" s="1">
        <v>1</v>
      </c>
      <c r="R1473" t="s">
        <v>1272</v>
      </c>
      <c r="S1473" t="str">
        <f t="shared" si="9"/>
        <v>Phù hợp 1 phần</v>
      </c>
    </row>
    <row r="1474" spans="1:19" hidden="1" x14ac:dyDescent="0.3">
      <c r="A1474" t="s">
        <v>1185</v>
      </c>
      <c r="B1474" t="s">
        <v>1186</v>
      </c>
      <c r="C1474" t="s">
        <v>1079</v>
      </c>
      <c r="D1474">
        <v>19613</v>
      </c>
      <c r="E1474" t="s">
        <v>836</v>
      </c>
      <c r="F1474" t="s">
        <v>837</v>
      </c>
      <c r="G1474" t="s">
        <v>838</v>
      </c>
      <c r="H1474" t="s">
        <v>839</v>
      </c>
      <c r="I1474" t="s">
        <v>31</v>
      </c>
      <c r="J1474">
        <v>265</v>
      </c>
      <c r="K1474" t="s">
        <v>840</v>
      </c>
      <c r="N1474">
        <v>1</v>
      </c>
      <c r="O1474">
        <v>0.46</v>
      </c>
      <c r="P1474" t="s">
        <v>38</v>
      </c>
      <c r="Q1474" s="1">
        <v>1</v>
      </c>
      <c r="R1474" t="s">
        <v>1272</v>
      </c>
      <c r="S1474" t="str">
        <f t="shared" si="9"/>
        <v>Phù hợp 1 phần</v>
      </c>
    </row>
    <row r="1475" spans="1:19" hidden="1" x14ac:dyDescent="0.3">
      <c r="A1475" t="s">
        <v>1185</v>
      </c>
      <c r="B1475" t="s">
        <v>1186</v>
      </c>
      <c r="C1475" t="s">
        <v>1079</v>
      </c>
      <c r="D1475">
        <v>16211</v>
      </c>
      <c r="E1475" t="s">
        <v>266</v>
      </c>
      <c r="F1475" t="s">
        <v>74</v>
      </c>
      <c r="G1475" t="s">
        <v>267</v>
      </c>
      <c r="H1475" t="s">
        <v>268</v>
      </c>
      <c r="I1475" t="s">
        <v>31</v>
      </c>
      <c r="J1475">
        <v>1579</v>
      </c>
      <c r="K1475" t="s">
        <v>269</v>
      </c>
      <c r="L1475">
        <v>2</v>
      </c>
      <c r="M1475">
        <v>17.8749</v>
      </c>
      <c r="N1475">
        <v>2</v>
      </c>
      <c r="O1475">
        <v>0.44290000000000002</v>
      </c>
      <c r="P1475" t="s">
        <v>27</v>
      </c>
      <c r="Q1475" s="1">
        <v>1</v>
      </c>
      <c r="R1475" t="s">
        <v>1272</v>
      </c>
      <c r="S1475" t="str">
        <f t="shared" si="9"/>
        <v>Phù hợp 1 phần</v>
      </c>
    </row>
    <row r="1476" spans="1:19" hidden="1" x14ac:dyDescent="0.3">
      <c r="A1476" t="s">
        <v>1185</v>
      </c>
      <c r="B1476" t="s">
        <v>1186</v>
      </c>
      <c r="C1476" t="s">
        <v>1079</v>
      </c>
      <c r="D1476">
        <v>19735</v>
      </c>
      <c r="E1476" t="s">
        <v>827</v>
      </c>
      <c r="F1476" t="s">
        <v>828</v>
      </c>
      <c r="G1476" t="s">
        <v>829</v>
      </c>
      <c r="H1476" t="s">
        <v>830</v>
      </c>
      <c r="I1476" t="s">
        <v>25</v>
      </c>
      <c r="J1476">
        <v>559</v>
      </c>
      <c r="K1476" t="s">
        <v>831</v>
      </c>
      <c r="L1476">
        <v>3</v>
      </c>
      <c r="M1476">
        <v>13.8668</v>
      </c>
      <c r="N1476">
        <v>3</v>
      </c>
      <c r="O1476">
        <v>0.42930000000000001</v>
      </c>
      <c r="P1476" t="s">
        <v>27</v>
      </c>
      <c r="Q1476" s="1">
        <v>2</v>
      </c>
      <c r="R1476" t="s">
        <v>1272</v>
      </c>
      <c r="S1476" t="str">
        <f t="shared" si="9"/>
        <v>ok</v>
      </c>
    </row>
    <row r="1477" spans="1:19" hidden="1" x14ac:dyDescent="0.3">
      <c r="A1477" t="s">
        <v>1185</v>
      </c>
      <c r="B1477" t="s">
        <v>1186</v>
      </c>
      <c r="C1477" t="s">
        <v>1079</v>
      </c>
      <c r="D1477">
        <v>13481</v>
      </c>
      <c r="E1477" t="s">
        <v>270</v>
      </c>
      <c r="F1477" t="s">
        <v>55</v>
      </c>
      <c r="G1477" t="s">
        <v>271</v>
      </c>
      <c r="H1477" t="s">
        <v>272</v>
      </c>
      <c r="I1477" t="s">
        <v>31</v>
      </c>
      <c r="J1477">
        <v>690</v>
      </c>
      <c r="K1477" t="s">
        <v>273</v>
      </c>
      <c r="N1477">
        <v>4</v>
      </c>
      <c r="O1477">
        <v>0.42849999999999999</v>
      </c>
      <c r="P1477" t="s">
        <v>38</v>
      </c>
      <c r="Q1477" s="1">
        <v>0</v>
      </c>
      <c r="R1477" t="s">
        <v>1272</v>
      </c>
      <c r="S1477" t="str">
        <f t="shared" si="9"/>
        <v>ko hợp</v>
      </c>
    </row>
    <row r="1478" spans="1:19" hidden="1" x14ac:dyDescent="0.3">
      <c r="A1478" t="s">
        <v>1185</v>
      </c>
      <c r="B1478" t="s">
        <v>1186</v>
      </c>
      <c r="C1478" t="s">
        <v>1079</v>
      </c>
      <c r="D1478">
        <v>15905</v>
      </c>
      <c r="E1478" t="s">
        <v>262</v>
      </c>
      <c r="F1478" t="s">
        <v>60</v>
      </c>
      <c r="G1478" t="s">
        <v>263</v>
      </c>
      <c r="H1478" t="s">
        <v>264</v>
      </c>
      <c r="I1478" t="s">
        <v>31</v>
      </c>
      <c r="J1478">
        <v>772</v>
      </c>
      <c r="K1478" t="s">
        <v>265</v>
      </c>
      <c r="L1478">
        <v>4</v>
      </c>
      <c r="M1478">
        <v>12.264099999999999</v>
      </c>
      <c r="P1478" t="s">
        <v>33</v>
      </c>
      <c r="Q1478" s="1">
        <v>0</v>
      </c>
      <c r="R1478" t="s">
        <v>1272</v>
      </c>
      <c r="S1478" t="str">
        <f t="shared" si="9"/>
        <v>ko hợp</v>
      </c>
    </row>
    <row r="1479" spans="1:19" hidden="1" x14ac:dyDescent="0.3">
      <c r="A1479" t="s">
        <v>1185</v>
      </c>
      <c r="B1479" t="s">
        <v>1186</v>
      </c>
      <c r="C1479" t="s">
        <v>1079</v>
      </c>
      <c r="D1479">
        <v>15013</v>
      </c>
      <c r="E1479" t="s">
        <v>59</v>
      </c>
      <c r="F1479" t="s">
        <v>60</v>
      </c>
      <c r="G1479" t="s">
        <v>61</v>
      </c>
      <c r="H1479" t="s">
        <v>62</v>
      </c>
      <c r="I1479" t="s">
        <v>25</v>
      </c>
      <c r="J1479">
        <v>550</v>
      </c>
      <c r="K1479" t="s">
        <v>63</v>
      </c>
      <c r="N1479">
        <v>5</v>
      </c>
      <c r="O1479">
        <v>0.42670000000000002</v>
      </c>
      <c r="P1479" t="s">
        <v>38</v>
      </c>
      <c r="Q1479" s="1">
        <v>0</v>
      </c>
      <c r="R1479" t="s">
        <v>1272</v>
      </c>
      <c r="S1479" t="str">
        <f t="shared" si="9"/>
        <v>ko hợp</v>
      </c>
    </row>
    <row r="1480" spans="1:19" hidden="1" x14ac:dyDescent="0.3">
      <c r="A1480" t="s">
        <v>1185</v>
      </c>
      <c r="B1480" t="s">
        <v>1186</v>
      </c>
      <c r="C1480" t="s">
        <v>1079</v>
      </c>
      <c r="D1480">
        <v>20576</v>
      </c>
      <c r="E1480" t="s">
        <v>699</v>
      </c>
      <c r="F1480" t="s">
        <v>700</v>
      </c>
      <c r="G1480" t="s">
        <v>701</v>
      </c>
      <c r="H1480" t="s">
        <v>702</v>
      </c>
      <c r="I1480" t="s">
        <v>25</v>
      </c>
      <c r="J1480">
        <v>201</v>
      </c>
      <c r="K1480" t="s">
        <v>703</v>
      </c>
      <c r="L1480">
        <v>5</v>
      </c>
      <c r="M1480">
        <v>11.1143</v>
      </c>
      <c r="P1480" t="s">
        <v>33</v>
      </c>
      <c r="Q1480" s="1">
        <v>1</v>
      </c>
      <c r="R1480" t="s">
        <v>1272</v>
      </c>
      <c r="S1480" t="str">
        <f t="shared" si="9"/>
        <v>Phù hợp 1 phần</v>
      </c>
    </row>
    <row r="1481" spans="1:19" hidden="1" x14ac:dyDescent="0.3">
      <c r="A1481" t="s">
        <v>1185</v>
      </c>
      <c r="B1481" t="s">
        <v>1186</v>
      </c>
      <c r="C1481" t="s">
        <v>1079</v>
      </c>
      <c r="D1481">
        <v>12428</v>
      </c>
      <c r="E1481" t="s">
        <v>850</v>
      </c>
      <c r="F1481" t="s">
        <v>74</v>
      </c>
      <c r="G1481" t="s">
        <v>151</v>
      </c>
      <c r="H1481" t="s">
        <v>851</v>
      </c>
      <c r="I1481" t="s">
        <v>31</v>
      </c>
      <c r="J1481">
        <v>891</v>
      </c>
      <c r="K1481" t="s">
        <v>852</v>
      </c>
      <c r="L1481">
        <v>6</v>
      </c>
      <c r="M1481">
        <v>10.523400000000001</v>
      </c>
      <c r="P1481" t="s">
        <v>33</v>
      </c>
      <c r="Q1481" s="1">
        <v>2</v>
      </c>
      <c r="R1481" t="s">
        <v>1272</v>
      </c>
      <c r="S1481" t="str">
        <f t="shared" si="9"/>
        <v>ok</v>
      </c>
    </row>
    <row r="1482" spans="1:19" hidden="1" x14ac:dyDescent="0.3">
      <c r="A1482" t="s">
        <v>1185</v>
      </c>
      <c r="B1482" t="s">
        <v>1186</v>
      </c>
      <c r="C1482" t="s">
        <v>1079</v>
      </c>
      <c r="D1482">
        <v>14103</v>
      </c>
      <c r="E1482" t="s">
        <v>509</v>
      </c>
      <c r="F1482" t="s">
        <v>74</v>
      </c>
      <c r="G1482" t="s">
        <v>510</v>
      </c>
      <c r="H1482" t="s">
        <v>511</v>
      </c>
      <c r="I1482" t="s">
        <v>31</v>
      </c>
      <c r="J1482">
        <v>290</v>
      </c>
      <c r="K1482" t="s">
        <v>512</v>
      </c>
      <c r="N1482">
        <v>6</v>
      </c>
      <c r="O1482">
        <v>0.42230000000000001</v>
      </c>
      <c r="P1482" t="s">
        <v>38</v>
      </c>
      <c r="Q1482" s="1">
        <v>0</v>
      </c>
      <c r="R1482" t="s">
        <v>1272</v>
      </c>
      <c r="S1482" t="str">
        <f t="shared" si="9"/>
        <v>ko hợp</v>
      </c>
    </row>
    <row r="1483" spans="1:19" hidden="1" x14ac:dyDescent="0.3">
      <c r="A1483" t="s">
        <v>1185</v>
      </c>
      <c r="B1483" t="s">
        <v>1186</v>
      </c>
      <c r="C1483" t="s">
        <v>1079</v>
      </c>
      <c r="D1483">
        <v>16303</v>
      </c>
      <c r="E1483" t="s">
        <v>1187</v>
      </c>
      <c r="F1483" t="s">
        <v>74</v>
      </c>
      <c r="G1483" t="s">
        <v>1188</v>
      </c>
      <c r="H1483" t="s">
        <v>1189</v>
      </c>
      <c r="I1483" t="s">
        <v>25</v>
      </c>
      <c r="J1483">
        <v>1554</v>
      </c>
      <c r="K1483" t="s">
        <v>1190</v>
      </c>
      <c r="L1483">
        <v>7</v>
      </c>
      <c r="M1483">
        <v>10.1395</v>
      </c>
      <c r="P1483" t="s">
        <v>33</v>
      </c>
      <c r="Q1483" s="1">
        <v>0</v>
      </c>
      <c r="R1483" t="s">
        <v>1272</v>
      </c>
      <c r="S1483" t="str">
        <f t="shared" si="9"/>
        <v>ko hợp</v>
      </c>
    </row>
    <row r="1484" spans="1:19" hidden="1" x14ac:dyDescent="0.3">
      <c r="A1484" t="s">
        <v>1185</v>
      </c>
      <c r="B1484" t="s">
        <v>1186</v>
      </c>
      <c r="C1484" t="s">
        <v>1079</v>
      </c>
      <c r="D1484">
        <v>19282</v>
      </c>
      <c r="E1484" t="s">
        <v>244</v>
      </c>
      <c r="F1484" t="s">
        <v>245</v>
      </c>
      <c r="G1484" t="s">
        <v>246</v>
      </c>
      <c r="H1484" t="s">
        <v>247</v>
      </c>
      <c r="I1484" t="s">
        <v>25</v>
      </c>
      <c r="J1484">
        <v>814</v>
      </c>
      <c r="K1484" t="s">
        <v>248</v>
      </c>
      <c r="N1484">
        <v>7</v>
      </c>
      <c r="O1484">
        <v>0.41909999999999997</v>
      </c>
      <c r="P1484" t="s">
        <v>38</v>
      </c>
      <c r="Q1484" s="1">
        <v>0</v>
      </c>
      <c r="R1484" t="s">
        <v>1272</v>
      </c>
      <c r="S1484" t="str">
        <f t="shared" si="9"/>
        <v>ko hợp</v>
      </c>
    </row>
    <row r="1485" spans="1:19" hidden="1" x14ac:dyDescent="0.3">
      <c r="A1485" t="s">
        <v>1185</v>
      </c>
      <c r="B1485" t="s">
        <v>1186</v>
      </c>
      <c r="C1485" t="s">
        <v>1079</v>
      </c>
      <c r="D1485">
        <v>11242</v>
      </c>
      <c r="E1485" t="s">
        <v>1089</v>
      </c>
      <c r="F1485" t="s">
        <v>74</v>
      </c>
      <c r="G1485" t="s">
        <v>1090</v>
      </c>
      <c r="H1485" t="s">
        <v>1091</v>
      </c>
      <c r="I1485" t="s">
        <v>25</v>
      </c>
      <c r="J1485">
        <v>2655</v>
      </c>
      <c r="K1485" t="s">
        <v>1092</v>
      </c>
      <c r="N1485">
        <v>8</v>
      </c>
      <c r="O1485">
        <v>0.41689999999999999</v>
      </c>
      <c r="P1485" t="s">
        <v>38</v>
      </c>
      <c r="Q1485" s="1">
        <v>0</v>
      </c>
      <c r="R1485" t="s">
        <v>1272</v>
      </c>
      <c r="S1485" t="str">
        <f t="shared" ref="S1485:S1548" si="10">IF(Q1485=2,"ok",IF(Q1485=1,"Phù hợp 1 phần", "ko hợp"))</f>
        <v>ko hợp</v>
      </c>
    </row>
    <row r="1486" spans="1:19" hidden="1" x14ac:dyDescent="0.3">
      <c r="A1486" t="s">
        <v>1185</v>
      </c>
      <c r="B1486" t="s">
        <v>1186</v>
      </c>
      <c r="C1486" t="s">
        <v>1079</v>
      </c>
      <c r="D1486">
        <v>20632</v>
      </c>
      <c r="E1486" t="s">
        <v>204</v>
      </c>
      <c r="F1486" t="s">
        <v>205</v>
      </c>
      <c r="G1486" t="s">
        <v>206</v>
      </c>
      <c r="H1486" t="s">
        <v>207</v>
      </c>
      <c r="I1486" t="s">
        <v>31</v>
      </c>
      <c r="J1486">
        <v>411</v>
      </c>
      <c r="K1486" t="s">
        <v>208</v>
      </c>
      <c r="L1486">
        <v>8</v>
      </c>
      <c r="M1486">
        <v>10.043200000000001</v>
      </c>
      <c r="P1486" t="s">
        <v>33</v>
      </c>
      <c r="Q1486" s="1">
        <v>1</v>
      </c>
      <c r="R1486" t="s">
        <v>1272</v>
      </c>
      <c r="S1486" t="str">
        <f t="shared" si="10"/>
        <v>Phù hợp 1 phần</v>
      </c>
    </row>
    <row r="1487" spans="1:19" hidden="1" x14ac:dyDescent="0.3">
      <c r="A1487" t="s">
        <v>1185</v>
      </c>
      <c r="B1487" t="s">
        <v>1186</v>
      </c>
      <c r="C1487" t="s">
        <v>1079</v>
      </c>
      <c r="D1487">
        <v>19729</v>
      </c>
      <c r="E1487" t="s">
        <v>975</v>
      </c>
      <c r="F1487" t="s">
        <v>828</v>
      </c>
      <c r="G1487" t="s">
        <v>829</v>
      </c>
      <c r="H1487" t="s">
        <v>976</v>
      </c>
      <c r="I1487" t="s">
        <v>25</v>
      </c>
      <c r="J1487">
        <v>1407</v>
      </c>
      <c r="K1487" t="s">
        <v>977</v>
      </c>
      <c r="N1487">
        <v>9</v>
      </c>
      <c r="O1487">
        <v>0.40079999999999999</v>
      </c>
      <c r="P1487" t="s">
        <v>38</v>
      </c>
      <c r="Q1487" s="1">
        <v>2</v>
      </c>
      <c r="R1487" t="s">
        <v>1272</v>
      </c>
      <c r="S1487" t="str">
        <f t="shared" si="10"/>
        <v>ok</v>
      </c>
    </row>
    <row r="1488" spans="1:19" hidden="1" x14ac:dyDescent="0.3">
      <c r="A1488" t="s">
        <v>1185</v>
      </c>
      <c r="B1488" t="s">
        <v>1186</v>
      </c>
      <c r="C1488" t="s">
        <v>1079</v>
      </c>
      <c r="D1488">
        <v>20472</v>
      </c>
      <c r="E1488" t="s">
        <v>487</v>
      </c>
      <c r="F1488" t="s">
        <v>60</v>
      </c>
      <c r="G1488" t="s">
        <v>488</v>
      </c>
      <c r="H1488" t="s">
        <v>489</v>
      </c>
      <c r="I1488" t="s">
        <v>25</v>
      </c>
      <c r="J1488">
        <v>579</v>
      </c>
      <c r="K1488" t="s">
        <v>490</v>
      </c>
      <c r="L1488">
        <v>9</v>
      </c>
      <c r="M1488">
        <v>9.5753000000000004</v>
      </c>
      <c r="P1488" t="s">
        <v>33</v>
      </c>
      <c r="Q1488" s="1">
        <v>1</v>
      </c>
      <c r="R1488" t="s">
        <v>1272</v>
      </c>
      <c r="S1488" t="str">
        <f t="shared" si="10"/>
        <v>Phù hợp 1 phần</v>
      </c>
    </row>
    <row r="1489" spans="1:19" hidden="1" x14ac:dyDescent="0.3">
      <c r="A1489" t="s">
        <v>1185</v>
      </c>
      <c r="B1489" t="s">
        <v>1186</v>
      </c>
      <c r="C1489" t="s">
        <v>1079</v>
      </c>
      <c r="D1489">
        <v>16102</v>
      </c>
      <c r="E1489" t="s">
        <v>186</v>
      </c>
      <c r="F1489" t="s">
        <v>155</v>
      </c>
      <c r="G1489" t="s">
        <v>187</v>
      </c>
      <c r="H1489" t="s">
        <v>188</v>
      </c>
      <c r="I1489" t="s">
        <v>25</v>
      </c>
      <c r="J1489">
        <v>8766</v>
      </c>
      <c r="K1489" t="s">
        <v>189</v>
      </c>
      <c r="L1489">
        <v>10</v>
      </c>
      <c r="M1489">
        <v>9.2556999999999992</v>
      </c>
      <c r="P1489" t="s">
        <v>33</v>
      </c>
      <c r="Q1489" s="1">
        <v>0</v>
      </c>
      <c r="R1489" t="s">
        <v>1272</v>
      </c>
      <c r="S1489" t="str">
        <f t="shared" si="10"/>
        <v>ko hợp</v>
      </c>
    </row>
    <row r="1490" spans="1:19" hidden="1" x14ac:dyDescent="0.3">
      <c r="A1490" t="s">
        <v>1185</v>
      </c>
      <c r="B1490" t="s">
        <v>1186</v>
      </c>
      <c r="C1490" t="s">
        <v>1079</v>
      </c>
      <c r="D1490">
        <v>20259</v>
      </c>
      <c r="E1490" t="s">
        <v>49</v>
      </c>
      <c r="F1490" t="s">
        <v>50</v>
      </c>
      <c r="G1490" t="s">
        <v>51</v>
      </c>
      <c r="H1490" t="s">
        <v>52</v>
      </c>
      <c r="I1490" t="s">
        <v>25</v>
      </c>
      <c r="J1490">
        <v>313</v>
      </c>
      <c r="K1490" t="s">
        <v>53</v>
      </c>
      <c r="N1490">
        <v>10</v>
      </c>
      <c r="O1490">
        <v>0.3982</v>
      </c>
      <c r="P1490" t="s">
        <v>38</v>
      </c>
      <c r="Q1490" s="1">
        <v>0</v>
      </c>
      <c r="R1490" t="s">
        <v>1272</v>
      </c>
      <c r="S1490" t="str">
        <f t="shared" si="10"/>
        <v>ko hợp</v>
      </c>
    </row>
    <row r="1491" spans="1:19" hidden="1" x14ac:dyDescent="0.3">
      <c r="A1491" t="s">
        <v>1191</v>
      </c>
      <c r="B1491" t="s">
        <v>1192</v>
      </c>
      <c r="C1491" t="s">
        <v>1079</v>
      </c>
      <c r="D1491">
        <v>13674</v>
      </c>
      <c r="E1491" t="s">
        <v>78</v>
      </c>
      <c r="F1491" t="s">
        <v>22</v>
      </c>
      <c r="G1491" t="s">
        <v>79</v>
      </c>
      <c r="H1491" t="s">
        <v>80</v>
      </c>
      <c r="I1491" t="s">
        <v>31</v>
      </c>
      <c r="J1491">
        <v>1127</v>
      </c>
      <c r="K1491" t="s">
        <v>81</v>
      </c>
      <c r="N1491">
        <v>1</v>
      </c>
      <c r="O1491">
        <v>0.46100000000000002</v>
      </c>
      <c r="P1491" t="s">
        <v>38</v>
      </c>
      <c r="Q1491" s="1">
        <v>1</v>
      </c>
      <c r="R1491" t="s">
        <v>1272</v>
      </c>
      <c r="S1491" t="str">
        <f t="shared" si="10"/>
        <v>Phù hợp 1 phần</v>
      </c>
    </row>
    <row r="1492" spans="1:19" hidden="1" x14ac:dyDescent="0.3">
      <c r="A1492" t="s">
        <v>1191</v>
      </c>
      <c r="B1492" t="s">
        <v>1192</v>
      </c>
      <c r="C1492" t="s">
        <v>1079</v>
      </c>
      <c r="D1492">
        <v>14198</v>
      </c>
      <c r="E1492" t="s">
        <v>73</v>
      </c>
      <c r="F1492" t="s">
        <v>74</v>
      </c>
      <c r="G1492" t="s">
        <v>75</v>
      </c>
      <c r="H1492" t="s">
        <v>76</v>
      </c>
      <c r="I1492" t="s">
        <v>31</v>
      </c>
      <c r="J1492">
        <v>377</v>
      </c>
      <c r="K1492" t="s">
        <v>77</v>
      </c>
      <c r="L1492">
        <v>1</v>
      </c>
      <c r="M1492">
        <v>18.282399999999999</v>
      </c>
      <c r="N1492">
        <v>3</v>
      </c>
      <c r="O1492">
        <v>0.4521</v>
      </c>
      <c r="P1492" t="s">
        <v>27</v>
      </c>
      <c r="Q1492" s="1">
        <v>0</v>
      </c>
      <c r="R1492" t="s">
        <v>1272</v>
      </c>
      <c r="S1492" t="str">
        <f t="shared" si="10"/>
        <v>ko hợp</v>
      </c>
    </row>
    <row r="1493" spans="1:19" hidden="1" x14ac:dyDescent="0.3">
      <c r="A1493" t="s">
        <v>1191</v>
      </c>
      <c r="B1493" t="s">
        <v>1192</v>
      </c>
      <c r="C1493" t="s">
        <v>1079</v>
      </c>
      <c r="D1493">
        <v>8524</v>
      </c>
      <c r="E1493" t="s">
        <v>676</v>
      </c>
      <c r="F1493" t="s">
        <v>668</v>
      </c>
      <c r="G1493" t="s">
        <v>677</v>
      </c>
      <c r="H1493" t="s">
        <v>678</v>
      </c>
      <c r="I1493" t="s">
        <v>25</v>
      </c>
      <c r="J1493">
        <v>226</v>
      </c>
      <c r="K1493" t="s">
        <v>679</v>
      </c>
      <c r="N1493">
        <v>2</v>
      </c>
      <c r="O1493">
        <v>0.45319999999999999</v>
      </c>
      <c r="P1493" t="s">
        <v>38</v>
      </c>
      <c r="Q1493" s="1">
        <v>0</v>
      </c>
      <c r="R1493" t="s">
        <v>1272</v>
      </c>
      <c r="S1493" t="str">
        <f t="shared" si="10"/>
        <v>ko hợp</v>
      </c>
    </row>
    <row r="1494" spans="1:19" hidden="1" x14ac:dyDescent="0.3">
      <c r="A1494" t="s">
        <v>1191</v>
      </c>
      <c r="B1494" t="s">
        <v>1192</v>
      </c>
      <c r="C1494" t="s">
        <v>1079</v>
      </c>
      <c r="D1494">
        <v>11553</v>
      </c>
      <c r="E1494" t="s">
        <v>623</v>
      </c>
      <c r="F1494" t="s">
        <v>60</v>
      </c>
      <c r="G1494" t="s">
        <v>624</v>
      </c>
      <c r="H1494" t="s">
        <v>625</v>
      </c>
      <c r="I1494" t="s">
        <v>31</v>
      </c>
      <c r="J1494">
        <v>489</v>
      </c>
      <c r="K1494" t="s">
        <v>626</v>
      </c>
      <c r="L1494">
        <v>2</v>
      </c>
      <c r="M1494">
        <v>16.802700000000002</v>
      </c>
      <c r="P1494" t="s">
        <v>33</v>
      </c>
      <c r="Q1494" s="1">
        <v>1</v>
      </c>
      <c r="R1494" t="s">
        <v>1272</v>
      </c>
      <c r="S1494" t="str">
        <f t="shared" si="10"/>
        <v>Phù hợp 1 phần</v>
      </c>
    </row>
    <row r="1495" spans="1:19" hidden="1" x14ac:dyDescent="0.3">
      <c r="A1495" t="s">
        <v>1191</v>
      </c>
      <c r="B1495" t="s">
        <v>1192</v>
      </c>
      <c r="C1495" t="s">
        <v>1079</v>
      </c>
      <c r="D1495">
        <v>16838</v>
      </c>
      <c r="E1495" t="s">
        <v>129</v>
      </c>
      <c r="F1495" t="s">
        <v>60</v>
      </c>
      <c r="G1495" t="s">
        <v>130</v>
      </c>
      <c r="H1495" t="s">
        <v>131</v>
      </c>
      <c r="I1495" t="s">
        <v>31</v>
      </c>
      <c r="J1495">
        <v>3435</v>
      </c>
      <c r="K1495" t="s">
        <v>132</v>
      </c>
      <c r="L1495">
        <v>3</v>
      </c>
      <c r="M1495">
        <v>15.5688</v>
      </c>
      <c r="P1495" t="s">
        <v>33</v>
      </c>
      <c r="Q1495" s="1">
        <v>0</v>
      </c>
      <c r="R1495" t="s">
        <v>1272</v>
      </c>
      <c r="S1495" t="str">
        <f t="shared" si="10"/>
        <v>ko hợp</v>
      </c>
    </row>
    <row r="1496" spans="1:19" hidden="1" x14ac:dyDescent="0.3">
      <c r="A1496" t="s">
        <v>1191</v>
      </c>
      <c r="B1496" t="s">
        <v>1192</v>
      </c>
      <c r="C1496" t="s">
        <v>1079</v>
      </c>
      <c r="D1496">
        <v>10623</v>
      </c>
      <c r="E1496" t="s">
        <v>817</v>
      </c>
      <c r="F1496" t="s">
        <v>74</v>
      </c>
      <c r="G1496" t="s">
        <v>818</v>
      </c>
      <c r="H1496" t="s">
        <v>819</v>
      </c>
      <c r="I1496" t="s">
        <v>25</v>
      </c>
      <c r="J1496">
        <v>578</v>
      </c>
      <c r="K1496" t="s">
        <v>820</v>
      </c>
      <c r="N1496">
        <v>4</v>
      </c>
      <c r="O1496">
        <v>0.44400000000000001</v>
      </c>
      <c r="P1496" t="s">
        <v>38</v>
      </c>
      <c r="Q1496" s="1">
        <v>1</v>
      </c>
      <c r="R1496" t="s">
        <v>1272</v>
      </c>
      <c r="S1496" t="str">
        <f t="shared" si="10"/>
        <v>Phù hợp 1 phần</v>
      </c>
    </row>
    <row r="1497" spans="1:19" hidden="1" x14ac:dyDescent="0.3">
      <c r="A1497" t="s">
        <v>1191</v>
      </c>
      <c r="B1497" t="s">
        <v>1192</v>
      </c>
      <c r="C1497" t="s">
        <v>1079</v>
      </c>
      <c r="D1497">
        <v>17802</v>
      </c>
      <c r="E1497" t="s">
        <v>1193</v>
      </c>
      <c r="F1497" t="s">
        <v>155</v>
      </c>
      <c r="G1497" t="s">
        <v>994</v>
      </c>
      <c r="H1497" t="s">
        <v>1194</v>
      </c>
      <c r="I1497" t="s">
        <v>31</v>
      </c>
      <c r="J1497">
        <v>436</v>
      </c>
      <c r="K1497" t="s">
        <v>1195</v>
      </c>
      <c r="L1497">
        <v>4</v>
      </c>
      <c r="M1497">
        <v>14.161</v>
      </c>
      <c r="P1497" t="s">
        <v>33</v>
      </c>
      <c r="Q1497" s="1">
        <v>0</v>
      </c>
      <c r="R1497" t="s">
        <v>1272</v>
      </c>
      <c r="S1497" t="str">
        <f t="shared" si="10"/>
        <v>ko hợp</v>
      </c>
    </row>
    <row r="1498" spans="1:19" hidden="1" x14ac:dyDescent="0.3">
      <c r="A1498" t="s">
        <v>1191</v>
      </c>
      <c r="B1498" t="s">
        <v>1192</v>
      </c>
      <c r="C1498" t="s">
        <v>1079</v>
      </c>
      <c r="D1498">
        <v>13623</v>
      </c>
      <c r="E1498" t="s">
        <v>548</v>
      </c>
      <c r="F1498" t="s">
        <v>60</v>
      </c>
      <c r="G1498" t="s">
        <v>318</v>
      </c>
      <c r="H1498" t="s">
        <v>549</v>
      </c>
      <c r="I1498" t="s">
        <v>31</v>
      </c>
      <c r="J1498">
        <v>509</v>
      </c>
      <c r="K1498" t="s">
        <v>550</v>
      </c>
      <c r="L1498">
        <v>5</v>
      </c>
      <c r="M1498">
        <v>13.266999999999999</v>
      </c>
      <c r="P1498" t="s">
        <v>33</v>
      </c>
      <c r="Q1498" s="1">
        <v>1</v>
      </c>
      <c r="R1498" t="s">
        <v>1272</v>
      </c>
      <c r="S1498" t="str">
        <f t="shared" si="10"/>
        <v>Phù hợp 1 phần</v>
      </c>
    </row>
    <row r="1499" spans="1:19" hidden="1" x14ac:dyDescent="0.3">
      <c r="A1499" t="s">
        <v>1191</v>
      </c>
      <c r="B1499" t="s">
        <v>1192</v>
      </c>
      <c r="C1499" t="s">
        <v>1079</v>
      </c>
      <c r="D1499">
        <v>14684</v>
      </c>
      <c r="E1499" t="s">
        <v>847</v>
      </c>
      <c r="F1499" t="s">
        <v>60</v>
      </c>
      <c r="G1499" t="s">
        <v>61</v>
      </c>
      <c r="H1499" t="s">
        <v>848</v>
      </c>
      <c r="I1499" t="s">
        <v>25</v>
      </c>
      <c r="J1499">
        <v>1309</v>
      </c>
      <c r="K1499" t="s">
        <v>849</v>
      </c>
      <c r="N1499">
        <v>5</v>
      </c>
      <c r="O1499">
        <v>0.432</v>
      </c>
      <c r="P1499" t="s">
        <v>38</v>
      </c>
      <c r="Q1499" s="1">
        <v>0</v>
      </c>
      <c r="R1499" t="s">
        <v>1272</v>
      </c>
      <c r="S1499" t="str">
        <f t="shared" si="10"/>
        <v>ko hợp</v>
      </c>
    </row>
    <row r="1500" spans="1:19" hidden="1" x14ac:dyDescent="0.3">
      <c r="A1500" t="s">
        <v>1191</v>
      </c>
      <c r="B1500" t="s">
        <v>1192</v>
      </c>
      <c r="C1500" t="s">
        <v>1079</v>
      </c>
      <c r="D1500">
        <v>19019</v>
      </c>
      <c r="E1500" t="s">
        <v>296</v>
      </c>
      <c r="F1500" t="s">
        <v>297</v>
      </c>
      <c r="G1500" t="s">
        <v>298</v>
      </c>
      <c r="H1500" t="s">
        <v>299</v>
      </c>
      <c r="I1500" t="s">
        <v>25</v>
      </c>
      <c r="J1500">
        <v>999</v>
      </c>
      <c r="K1500" t="s">
        <v>300</v>
      </c>
      <c r="L1500">
        <v>6</v>
      </c>
      <c r="M1500">
        <v>12.884600000000001</v>
      </c>
      <c r="N1500">
        <v>7</v>
      </c>
      <c r="O1500">
        <v>0.4274</v>
      </c>
      <c r="P1500" t="s">
        <v>27</v>
      </c>
      <c r="Q1500" s="1">
        <v>0</v>
      </c>
      <c r="R1500" t="s">
        <v>1272</v>
      </c>
      <c r="S1500" t="str">
        <f t="shared" si="10"/>
        <v>ko hợp</v>
      </c>
    </row>
    <row r="1501" spans="1:19" hidden="1" x14ac:dyDescent="0.3">
      <c r="A1501" t="s">
        <v>1191</v>
      </c>
      <c r="B1501" t="s">
        <v>1192</v>
      </c>
      <c r="C1501" t="s">
        <v>1079</v>
      </c>
      <c r="D1501">
        <v>19472</v>
      </c>
      <c r="E1501" t="s">
        <v>332</v>
      </c>
      <c r="F1501" t="s">
        <v>288</v>
      </c>
      <c r="G1501" t="s">
        <v>333</v>
      </c>
      <c r="H1501" t="s">
        <v>334</v>
      </c>
      <c r="I1501" t="s">
        <v>31</v>
      </c>
      <c r="J1501">
        <v>192</v>
      </c>
      <c r="K1501" t="s">
        <v>335</v>
      </c>
      <c r="N1501">
        <v>6</v>
      </c>
      <c r="O1501">
        <v>0.42880000000000001</v>
      </c>
      <c r="P1501" t="s">
        <v>38</v>
      </c>
      <c r="Q1501" s="1">
        <v>1</v>
      </c>
      <c r="R1501" t="s">
        <v>1272</v>
      </c>
      <c r="S1501" t="str">
        <f t="shared" si="10"/>
        <v>Phù hợp 1 phần</v>
      </c>
    </row>
    <row r="1502" spans="1:19" hidden="1" x14ac:dyDescent="0.3">
      <c r="A1502" t="s">
        <v>1191</v>
      </c>
      <c r="B1502" t="s">
        <v>1192</v>
      </c>
      <c r="C1502" t="s">
        <v>1079</v>
      </c>
      <c r="D1502">
        <v>19931</v>
      </c>
      <c r="E1502" t="s">
        <v>1196</v>
      </c>
      <c r="F1502" t="s">
        <v>288</v>
      </c>
      <c r="G1502" t="s">
        <v>968</v>
      </c>
      <c r="H1502" t="s">
        <v>1197</v>
      </c>
      <c r="I1502" t="s">
        <v>31</v>
      </c>
      <c r="J1502">
        <v>426</v>
      </c>
      <c r="K1502" t="s">
        <v>1198</v>
      </c>
      <c r="L1502">
        <v>7</v>
      </c>
      <c r="M1502">
        <v>12.8102</v>
      </c>
      <c r="P1502" t="s">
        <v>33</v>
      </c>
      <c r="Q1502" s="1">
        <v>1</v>
      </c>
      <c r="R1502" t="s">
        <v>1272</v>
      </c>
      <c r="S1502" t="str">
        <f t="shared" si="10"/>
        <v>Phù hợp 1 phần</v>
      </c>
    </row>
    <row r="1503" spans="1:19" hidden="1" x14ac:dyDescent="0.3">
      <c r="A1503" t="s">
        <v>1191</v>
      </c>
      <c r="B1503" t="s">
        <v>1192</v>
      </c>
      <c r="C1503" t="s">
        <v>1079</v>
      </c>
      <c r="D1503">
        <v>18885</v>
      </c>
      <c r="E1503" t="s">
        <v>86</v>
      </c>
      <c r="F1503" t="s">
        <v>60</v>
      </c>
      <c r="G1503" t="s">
        <v>87</v>
      </c>
      <c r="H1503" t="s">
        <v>88</v>
      </c>
      <c r="I1503" t="s">
        <v>31</v>
      </c>
      <c r="J1503">
        <v>596</v>
      </c>
      <c r="K1503" t="s">
        <v>89</v>
      </c>
      <c r="N1503">
        <v>8</v>
      </c>
      <c r="O1503">
        <v>0.41599999999999998</v>
      </c>
      <c r="P1503" t="s">
        <v>38</v>
      </c>
      <c r="Q1503" s="1">
        <v>0</v>
      </c>
      <c r="R1503" t="s">
        <v>1272</v>
      </c>
      <c r="S1503" t="str">
        <f t="shared" si="10"/>
        <v>ko hợp</v>
      </c>
    </row>
    <row r="1504" spans="1:19" hidden="1" x14ac:dyDescent="0.3">
      <c r="A1504" t="s">
        <v>1191</v>
      </c>
      <c r="B1504" t="s">
        <v>1192</v>
      </c>
      <c r="C1504" t="s">
        <v>1079</v>
      </c>
      <c r="D1504">
        <v>20392</v>
      </c>
      <c r="E1504" t="s">
        <v>661</v>
      </c>
      <c r="F1504" t="s">
        <v>662</v>
      </c>
      <c r="G1504" t="s">
        <v>41</v>
      </c>
      <c r="H1504" t="s">
        <v>663</v>
      </c>
      <c r="I1504" t="s">
        <v>25</v>
      </c>
      <c r="J1504">
        <v>980</v>
      </c>
      <c r="K1504" t="s">
        <v>664</v>
      </c>
      <c r="L1504">
        <v>8</v>
      </c>
      <c r="M1504">
        <v>12.584099999999999</v>
      </c>
      <c r="P1504" t="s">
        <v>33</v>
      </c>
      <c r="Q1504" s="1">
        <v>0</v>
      </c>
      <c r="R1504" t="s">
        <v>1272</v>
      </c>
      <c r="S1504" t="str">
        <f t="shared" si="10"/>
        <v>ko hợp</v>
      </c>
    </row>
    <row r="1505" spans="1:19" hidden="1" x14ac:dyDescent="0.3">
      <c r="A1505" t="s">
        <v>1191</v>
      </c>
      <c r="B1505" t="s">
        <v>1192</v>
      </c>
      <c r="C1505" t="s">
        <v>1079</v>
      </c>
      <c r="D1505">
        <v>13514</v>
      </c>
      <c r="E1505" t="s">
        <v>64</v>
      </c>
      <c r="F1505" t="s">
        <v>60</v>
      </c>
      <c r="G1505" t="s">
        <v>65</v>
      </c>
      <c r="H1505" t="s">
        <v>66</v>
      </c>
      <c r="I1505" t="s">
        <v>31</v>
      </c>
      <c r="J1505">
        <v>587</v>
      </c>
      <c r="K1505" t="s">
        <v>67</v>
      </c>
      <c r="L1505">
        <v>9</v>
      </c>
      <c r="M1505">
        <v>12.443</v>
      </c>
      <c r="P1505" t="s">
        <v>33</v>
      </c>
      <c r="Q1505" s="1">
        <v>2</v>
      </c>
      <c r="R1505" t="s">
        <v>1272</v>
      </c>
      <c r="S1505" t="str">
        <f t="shared" si="10"/>
        <v>ok</v>
      </c>
    </row>
    <row r="1506" spans="1:19" hidden="1" x14ac:dyDescent="0.3">
      <c r="A1506" t="s">
        <v>1191</v>
      </c>
      <c r="B1506" t="s">
        <v>1192</v>
      </c>
      <c r="C1506" t="s">
        <v>1079</v>
      </c>
      <c r="D1506">
        <v>14711</v>
      </c>
      <c r="E1506" t="s">
        <v>1199</v>
      </c>
      <c r="F1506" t="s">
        <v>60</v>
      </c>
      <c r="G1506" t="s">
        <v>922</v>
      </c>
      <c r="H1506" t="s">
        <v>1200</v>
      </c>
      <c r="I1506" t="s">
        <v>25</v>
      </c>
      <c r="J1506">
        <v>329</v>
      </c>
      <c r="K1506" t="s">
        <v>1201</v>
      </c>
      <c r="N1506">
        <v>9</v>
      </c>
      <c r="O1506">
        <v>0.4148</v>
      </c>
      <c r="P1506" t="s">
        <v>38</v>
      </c>
      <c r="Q1506" s="1">
        <v>1</v>
      </c>
      <c r="R1506" t="s">
        <v>1272</v>
      </c>
      <c r="S1506" t="str">
        <f t="shared" si="10"/>
        <v>Phù hợp 1 phần</v>
      </c>
    </row>
    <row r="1507" spans="1:19" hidden="1" x14ac:dyDescent="0.3">
      <c r="A1507" t="s">
        <v>1191</v>
      </c>
      <c r="B1507" t="s">
        <v>1192</v>
      </c>
      <c r="C1507" t="s">
        <v>1079</v>
      </c>
      <c r="D1507">
        <v>12225</v>
      </c>
      <c r="E1507" t="s">
        <v>908</v>
      </c>
      <c r="F1507" t="s">
        <v>155</v>
      </c>
      <c r="G1507" t="s">
        <v>909</v>
      </c>
      <c r="H1507" t="s">
        <v>910</v>
      </c>
      <c r="I1507" t="s">
        <v>31</v>
      </c>
      <c r="J1507">
        <v>1732</v>
      </c>
      <c r="K1507" t="s">
        <v>911</v>
      </c>
      <c r="N1507">
        <v>10</v>
      </c>
      <c r="O1507">
        <v>0.41439999999999999</v>
      </c>
      <c r="P1507" t="s">
        <v>38</v>
      </c>
      <c r="Q1507" s="1">
        <v>1</v>
      </c>
      <c r="R1507" t="s">
        <v>1272</v>
      </c>
      <c r="S1507" t="str">
        <f t="shared" si="10"/>
        <v>Phù hợp 1 phần</v>
      </c>
    </row>
    <row r="1508" spans="1:19" hidden="1" x14ac:dyDescent="0.3">
      <c r="A1508" t="s">
        <v>1191</v>
      </c>
      <c r="B1508" t="s">
        <v>1192</v>
      </c>
      <c r="C1508" t="s">
        <v>1079</v>
      </c>
      <c r="D1508">
        <v>14011</v>
      </c>
      <c r="E1508" t="s">
        <v>596</v>
      </c>
      <c r="F1508" t="s">
        <v>22</v>
      </c>
      <c r="G1508" t="s">
        <v>597</v>
      </c>
      <c r="H1508" t="s">
        <v>598</v>
      </c>
      <c r="I1508" t="s">
        <v>31</v>
      </c>
      <c r="J1508">
        <v>931</v>
      </c>
      <c r="K1508" t="s">
        <v>599</v>
      </c>
      <c r="L1508">
        <v>10</v>
      </c>
      <c r="M1508">
        <v>11.330399999999999</v>
      </c>
      <c r="P1508" t="s">
        <v>33</v>
      </c>
      <c r="Q1508" s="1">
        <v>1</v>
      </c>
      <c r="R1508" t="s">
        <v>1272</v>
      </c>
      <c r="S1508" t="str">
        <f t="shared" si="10"/>
        <v>Phù hợp 1 phần</v>
      </c>
    </row>
    <row r="1509" spans="1:19" hidden="1" x14ac:dyDescent="0.3">
      <c r="A1509" t="s">
        <v>1202</v>
      </c>
      <c r="B1509" t="s">
        <v>1203</v>
      </c>
      <c r="C1509" t="s">
        <v>1079</v>
      </c>
      <c r="D1509">
        <v>17533</v>
      </c>
      <c r="E1509" t="s">
        <v>746</v>
      </c>
      <c r="F1509" t="s">
        <v>60</v>
      </c>
      <c r="G1509" t="s">
        <v>719</v>
      </c>
      <c r="H1509" t="s">
        <v>747</v>
      </c>
      <c r="I1509" t="s">
        <v>25</v>
      </c>
      <c r="J1509">
        <v>907</v>
      </c>
      <c r="K1509" t="s">
        <v>748</v>
      </c>
      <c r="N1509">
        <v>1</v>
      </c>
      <c r="O1509">
        <v>0.47770000000000001</v>
      </c>
      <c r="P1509" t="s">
        <v>38</v>
      </c>
      <c r="Q1509" s="1">
        <v>0</v>
      </c>
      <c r="R1509" t="s">
        <v>1272</v>
      </c>
      <c r="S1509" t="str">
        <f t="shared" si="10"/>
        <v>ko hợp</v>
      </c>
    </row>
    <row r="1510" spans="1:19" hidden="1" x14ac:dyDescent="0.3">
      <c r="A1510" t="s">
        <v>1202</v>
      </c>
      <c r="B1510" t="s">
        <v>1203</v>
      </c>
      <c r="C1510" t="s">
        <v>1079</v>
      </c>
      <c r="D1510">
        <v>19831</v>
      </c>
      <c r="E1510" t="s">
        <v>880</v>
      </c>
      <c r="F1510" t="s">
        <v>22</v>
      </c>
      <c r="G1510" t="s">
        <v>806</v>
      </c>
      <c r="H1510" t="s">
        <v>881</v>
      </c>
      <c r="I1510" t="s">
        <v>31</v>
      </c>
      <c r="J1510">
        <v>194</v>
      </c>
      <c r="K1510" t="s">
        <v>882</v>
      </c>
      <c r="L1510">
        <v>1</v>
      </c>
      <c r="M1510">
        <v>19.583200000000001</v>
      </c>
      <c r="P1510" t="s">
        <v>33</v>
      </c>
      <c r="Q1510" s="1">
        <v>0</v>
      </c>
      <c r="R1510" t="s">
        <v>1272</v>
      </c>
      <c r="S1510" t="str">
        <f t="shared" si="10"/>
        <v>ko hợp</v>
      </c>
    </row>
    <row r="1511" spans="1:19" hidden="1" x14ac:dyDescent="0.3">
      <c r="A1511" t="s">
        <v>1202</v>
      </c>
      <c r="B1511" t="s">
        <v>1203</v>
      </c>
      <c r="C1511" t="s">
        <v>1079</v>
      </c>
      <c r="D1511">
        <v>13561</v>
      </c>
      <c r="E1511" t="s">
        <v>832</v>
      </c>
      <c r="F1511" t="s">
        <v>60</v>
      </c>
      <c r="G1511" t="s">
        <v>833</v>
      </c>
      <c r="H1511" t="s">
        <v>834</v>
      </c>
      <c r="I1511" t="s">
        <v>31</v>
      </c>
      <c r="J1511">
        <v>498</v>
      </c>
      <c r="K1511" t="s">
        <v>835</v>
      </c>
      <c r="N1511">
        <v>2</v>
      </c>
      <c r="O1511">
        <v>0.44130000000000003</v>
      </c>
      <c r="P1511" t="s">
        <v>38</v>
      </c>
      <c r="Q1511" s="1">
        <v>0</v>
      </c>
      <c r="R1511" t="s">
        <v>1272</v>
      </c>
      <c r="S1511" t="str">
        <f t="shared" si="10"/>
        <v>ko hợp</v>
      </c>
    </row>
    <row r="1512" spans="1:19" hidden="1" x14ac:dyDescent="0.3">
      <c r="A1512" t="s">
        <v>1202</v>
      </c>
      <c r="B1512" t="s">
        <v>1203</v>
      </c>
      <c r="C1512" t="s">
        <v>1079</v>
      </c>
      <c r="D1512">
        <v>18937</v>
      </c>
      <c r="E1512" t="s">
        <v>68</v>
      </c>
      <c r="F1512" t="s">
        <v>69</v>
      </c>
      <c r="G1512" t="s">
        <v>70</v>
      </c>
      <c r="H1512" t="s">
        <v>71</v>
      </c>
      <c r="I1512" t="s">
        <v>31</v>
      </c>
      <c r="J1512">
        <v>3317</v>
      </c>
      <c r="K1512" t="s">
        <v>72</v>
      </c>
      <c r="L1512">
        <v>2</v>
      </c>
      <c r="M1512">
        <v>18.419</v>
      </c>
      <c r="P1512" t="s">
        <v>33</v>
      </c>
      <c r="Q1512" s="1">
        <v>0</v>
      </c>
      <c r="R1512" t="s">
        <v>1272</v>
      </c>
      <c r="S1512" t="str">
        <f t="shared" si="10"/>
        <v>ko hợp</v>
      </c>
    </row>
    <row r="1513" spans="1:19" hidden="1" x14ac:dyDescent="0.3">
      <c r="A1513" t="s">
        <v>1202</v>
      </c>
      <c r="B1513" t="s">
        <v>1203</v>
      </c>
      <c r="C1513" t="s">
        <v>1079</v>
      </c>
      <c r="D1513">
        <v>14684</v>
      </c>
      <c r="E1513" t="s">
        <v>847</v>
      </c>
      <c r="F1513" t="s">
        <v>60</v>
      </c>
      <c r="G1513" t="s">
        <v>61</v>
      </c>
      <c r="H1513" t="s">
        <v>848</v>
      </c>
      <c r="I1513" t="s">
        <v>25</v>
      </c>
      <c r="J1513">
        <v>1309</v>
      </c>
      <c r="K1513" t="s">
        <v>849</v>
      </c>
      <c r="N1513">
        <v>3</v>
      </c>
      <c r="O1513">
        <v>0.4395</v>
      </c>
      <c r="P1513" t="s">
        <v>38</v>
      </c>
      <c r="Q1513" s="1">
        <v>1</v>
      </c>
      <c r="R1513" t="s">
        <v>1272</v>
      </c>
      <c r="S1513" t="str">
        <f t="shared" si="10"/>
        <v>Phù hợp 1 phần</v>
      </c>
    </row>
    <row r="1514" spans="1:19" hidden="1" x14ac:dyDescent="0.3">
      <c r="A1514" t="s">
        <v>1202</v>
      </c>
      <c r="B1514" t="s">
        <v>1203</v>
      </c>
      <c r="C1514" t="s">
        <v>1079</v>
      </c>
      <c r="D1514">
        <v>19019</v>
      </c>
      <c r="E1514" t="s">
        <v>296</v>
      </c>
      <c r="F1514" t="s">
        <v>297</v>
      </c>
      <c r="G1514" t="s">
        <v>298</v>
      </c>
      <c r="H1514" t="s">
        <v>299</v>
      </c>
      <c r="I1514" t="s">
        <v>25</v>
      </c>
      <c r="J1514">
        <v>999</v>
      </c>
      <c r="K1514" t="s">
        <v>300</v>
      </c>
      <c r="L1514">
        <v>3</v>
      </c>
      <c r="M1514">
        <v>16.764299999999999</v>
      </c>
      <c r="N1514">
        <v>4</v>
      </c>
      <c r="O1514">
        <v>0.43440000000000001</v>
      </c>
      <c r="P1514" t="s">
        <v>27</v>
      </c>
      <c r="Q1514" s="1">
        <v>1</v>
      </c>
      <c r="R1514" t="s">
        <v>1272</v>
      </c>
      <c r="S1514" t="str">
        <f t="shared" si="10"/>
        <v>Phù hợp 1 phần</v>
      </c>
    </row>
    <row r="1515" spans="1:19" hidden="1" x14ac:dyDescent="0.3">
      <c r="A1515" t="s">
        <v>1202</v>
      </c>
      <c r="B1515" t="s">
        <v>1203</v>
      </c>
      <c r="C1515" t="s">
        <v>1079</v>
      </c>
      <c r="D1515">
        <v>14073</v>
      </c>
      <c r="E1515" t="s">
        <v>258</v>
      </c>
      <c r="F1515" t="s">
        <v>74</v>
      </c>
      <c r="G1515" t="s">
        <v>259</v>
      </c>
      <c r="H1515" t="s">
        <v>260</v>
      </c>
      <c r="I1515" t="s">
        <v>31</v>
      </c>
      <c r="J1515">
        <v>494</v>
      </c>
      <c r="K1515" t="s">
        <v>261</v>
      </c>
      <c r="L1515">
        <v>4</v>
      </c>
      <c r="M1515">
        <v>16.660299999999999</v>
      </c>
      <c r="P1515" t="s">
        <v>33</v>
      </c>
      <c r="Q1515" s="1">
        <v>0</v>
      </c>
      <c r="R1515" t="s">
        <v>1272</v>
      </c>
      <c r="S1515" t="str">
        <f t="shared" si="10"/>
        <v>ko hợp</v>
      </c>
    </row>
    <row r="1516" spans="1:19" hidden="1" x14ac:dyDescent="0.3">
      <c r="A1516" t="s">
        <v>1202</v>
      </c>
      <c r="B1516" t="s">
        <v>1203</v>
      </c>
      <c r="C1516" t="s">
        <v>1079</v>
      </c>
      <c r="D1516">
        <v>9820</v>
      </c>
      <c r="E1516" t="s">
        <v>150</v>
      </c>
      <c r="F1516" t="s">
        <v>60</v>
      </c>
      <c r="G1516" t="s">
        <v>151</v>
      </c>
      <c r="H1516" t="s">
        <v>152</v>
      </c>
      <c r="I1516" t="s">
        <v>25</v>
      </c>
      <c r="J1516">
        <v>2512</v>
      </c>
      <c r="K1516" t="s">
        <v>153</v>
      </c>
      <c r="N1516">
        <v>5</v>
      </c>
      <c r="O1516">
        <v>0.43240000000000001</v>
      </c>
      <c r="P1516" t="s">
        <v>38</v>
      </c>
      <c r="Q1516" s="1">
        <v>0</v>
      </c>
      <c r="R1516" t="s">
        <v>1272</v>
      </c>
      <c r="S1516" t="str">
        <f t="shared" si="10"/>
        <v>ko hợp</v>
      </c>
    </row>
    <row r="1517" spans="1:19" hidden="1" x14ac:dyDescent="0.3">
      <c r="A1517" t="s">
        <v>1202</v>
      </c>
      <c r="B1517" t="s">
        <v>1203</v>
      </c>
      <c r="C1517" t="s">
        <v>1079</v>
      </c>
      <c r="D1517">
        <v>13237</v>
      </c>
      <c r="E1517" t="s">
        <v>137</v>
      </c>
      <c r="F1517" t="s">
        <v>60</v>
      </c>
      <c r="G1517" t="s">
        <v>138</v>
      </c>
      <c r="H1517" t="s">
        <v>139</v>
      </c>
      <c r="I1517" t="s">
        <v>31</v>
      </c>
      <c r="J1517">
        <v>1213</v>
      </c>
      <c r="K1517" t="s">
        <v>140</v>
      </c>
      <c r="L1517">
        <v>5</v>
      </c>
      <c r="M1517">
        <v>15.7225</v>
      </c>
      <c r="P1517" t="s">
        <v>33</v>
      </c>
      <c r="Q1517" s="1">
        <v>0</v>
      </c>
      <c r="R1517" t="s">
        <v>1272</v>
      </c>
      <c r="S1517" t="str">
        <f t="shared" si="10"/>
        <v>ko hợp</v>
      </c>
    </row>
    <row r="1518" spans="1:19" hidden="1" x14ac:dyDescent="0.3">
      <c r="A1518" t="s">
        <v>1202</v>
      </c>
      <c r="B1518" t="s">
        <v>1203</v>
      </c>
      <c r="C1518" t="s">
        <v>1079</v>
      </c>
      <c r="D1518">
        <v>14011</v>
      </c>
      <c r="E1518" t="s">
        <v>596</v>
      </c>
      <c r="F1518" t="s">
        <v>22</v>
      </c>
      <c r="G1518" t="s">
        <v>597</v>
      </c>
      <c r="H1518" t="s">
        <v>598</v>
      </c>
      <c r="I1518" t="s">
        <v>31</v>
      </c>
      <c r="J1518">
        <v>931</v>
      </c>
      <c r="K1518" t="s">
        <v>599</v>
      </c>
      <c r="L1518">
        <v>6</v>
      </c>
      <c r="M1518">
        <v>15.7074</v>
      </c>
      <c r="P1518" t="s">
        <v>33</v>
      </c>
      <c r="Q1518" s="1">
        <v>0</v>
      </c>
      <c r="R1518" t="s">
        <v>1272</v>
      </c>
      <c r="S1518" t="str">
        <f t="shared" si="10"/>
        <v>ko hợp</v>
      </c>
    </row>
    <row r="1519" spans="1:19" hidden="1" x14ac:dyDescent="0.3">
      <c r="A1519" t="s">
        <v>1202</v>
      </c>
      <c r="B1519" t="s">
        <v>1203</v>
      </c>
      <c r="C1519" t="s">
        <v>1079</v>
      </c>
      <c r="D1519">
        <v>18919</v>
      </c>
      <c r="E1519" t="s">
        <v>997</v>
      </c>
      <c r="F1519" t="s">
        <v>155</v>
      </c>
      <c r="G1519" t="s">
        <v>909</v>
      </c>
      <c r="H1519" t="s">
        <v>998</v>
      </c>
      <c r="I1519" t="s">
        <v>31</v>
      </c>
      <c r="J1519">
        <v>510</v>
      </c>
      <c r="K1519" t="s">
        <v>999</v>
      </c>
      <c r="N1519">
        <v>6</v>
      </c>
      <c r="O1519">
        <v>0.43140000000000001</v>
      </c>
      <c r="P1519" t="s">
        <v>38</v>
      </c>
      <c r="Q1519" s="1">
        <v>1</v>
      </c>
      <c r="R1519" t="s">
        <v>1272</v>
      </c>
      <c r="S1519" t="str">
        <f t="shared" si="10"/>
        <v>Phù hợp 1 phần</v>
      </c>
    </row>
    <row r="1520" spans="1:19" hidden="1" x14ac:dyDescent="0.3">
      <c r="A1520" t="s">
        <v>1202</v>
      </c>
      <c r="B1520" t="s">
        <v>1203</v>
      </c>
      <c r="C1520" t="s">
        <v>1079</v>
      </c>
      <c r="D1520">
        <v>12188</v>
      </c>
      <c r="E1520" t="s">
        <v>680</v>
      </c>
      <c r="F1520" t="s">
        <v>668</v>
      </c>
      <c r="G1520" t="s">
        <v>681</v>
      </c>
      <c r="H1520" t="s">
        <v>682</v>
      </c>
      <c r="I1520" t="s">
        <v>31</v>
      </c>
      <c r="J1520">
        <v>637</v>
      </c>
      <c r="K1520" t="s">
        <v>683</v>
      </c>
      <c r="N1520">
        <v>7</v>
      </c>
      <c r="O1520">
        <v>0.4304</v>
      </c>
      <c r="P1520" t="s">
        <v>38</v>
      </c>
      <c r="Q1520" s="1">
        <v>0</v>
      </c>
      <c r="R1520" t="s">
        <v>1272</v>
      </c>
      <c r="S1520" t="str">
        <f t="shared" si="10"/>
        <v>ko hợp</v>
      </c>
    </row>
    <row r="1521" spans="1:19" hidden="1" x14ac:dyDescent="0.3">
      <c r="A1521" t="s">
        <v>1202</v>
      </c>
      <c r="B1521" t="s">
        <v>1203</v>
      </c>
      <c r="C1521" t="s">
        <v>1079</v>
      </c>
      <c r="D1521">
        <v>18867</v>
      </c>
      <c r="E1521" t="s">
        <v>1204</v>
      </c>
      <c r="F1521" t="s">
        <v>60</v>
      </c>
      <c r="G1521" t="s">
        <v>1205</v>
      </c>
      <c r="H1521" t="s">
        <v>1206</v>
      </c>
      <c r="I1521" t="s">
        <v>31</v>
      </c>
      <c r="J1521">
        <v>614</v>
      </c>
      <c r="K1521" t="s">
        <v>1207</v>
      </c>
      <c r="L1521">
        <v>7</v>
      </c>
      <c r="M1521">
        <v>15.6129</v>
      </c>
      <c r="P1521" t="s">
        <v>33</v>
      </c>
      <c r="Q1521" s="1">
        <v>0</v>
      </c>
      <c r="R1521" t="s">
        <v>1272</v>
      </c>
      <c r="S1521" t="str">
        <f t="shared" si="10"/>
        <v>ko hợp</v>
      </c>
    </row>
    <row r="1522" spans="1:19" hidden="1" x14ac:dyDescent="0.3">
      <c r="A1522" t="s">
        <v>1202</v>
      </c>
      <c r="B1522" t="s">
        <v>1203</v>
      </c>
      <c r="C1522" t="s">
        <v>1079</v>
      </c>
      <c r="D1522">
        <v>13338</v>
      </c>
      <c r="E1522" t="s">
        <v>1208</v>
      </c>
      <c r="F1522" t="s">
        <v>155</v>
      </c>
      <c r="G1522" t="s">
        <v>1209</v>
      </c>
      <c r="H1522" t="s">
        <v>1210</v>
      </c>
      <c r="I1522" t="s">
        <v>31</v>
      </c>
      <c r="J1522">
        <v>585</v>
      </c>
      <c r="K1522" t="s">
        <v>1211</v>
      </c>
      <c r="L1522">
        <v>8</v>
      </c>
      <c r="M1522">
        <v>15.4337</v>
      </c>
      <c r="P1522" t="s">
        <v>33</v>
      </c>
      <c r="Q1522" s="1">
        <v>1</v>
      </c>
      <c r="R1522" t="s">
        <v>1272</v>
      </c>
      <c r="S1522" t="str">
        <f t="shared" si="10"/>
        <v>Phù hợp 1 phần</v>
      </c>
    </row>
    <row r="1523" spans="1:19" hidden="1" x14ac:dyDescent="0.3">
      <c r="A1523" t="s">
        <v>1202</v>
      </c>
      <c r="B1523" t="s">
        <v>1203</v>
      </c>
      <c r="C1523" t="s">
        <v>1079</v>
      </c>
      <c r="D1523">
        <v>20532</v>
      </c>
      <c r="E1523" t="s">
        <v>221</v>
      </c>
      <c r="F1523" t="s">
        <v>222</v>
      </c>
      <c r="G1523" t="s">
        <v>41</v>
      </c>
      <c r="H1523" t="s">
        <v>223</v>
      </c>
      <c r="I1523" t="s">
        <v>25</v>
      </c>
      <c r="J1523">
        <v>1105</v>
      </c>
      <c r="K1523" t="s">
        <v>224</v>
      </c>
      <c r="N1523">
        <v>8</v>
      </c>
      <c r="O1523">
        <v>0.43</v>
      </c>
      <c r="P1523" t="s">
        <v>38</v>
      </c>
      <c r="Q1523" s="1">
        <v>1</v>
      </c>
      <c r="R1523" t="s">
        <v>1272</v>
      </c>
      <c r="S1523" t="str">
        <f t="shared" si="10"/>
        <v>Phù hợp 1 phần</v>
      </c>
    </row>
    <row r="1524" spans="1:19" hidden="1" x14ac:dyDescent="0.3">
      <c r="A1524" t="s">
        <v>1202</v>
      </c>
      <c r="B1524" t="s">
        <v>1203</v>
      </c>
      <c r="C1524" t="s">
        <v>1079</v>
      </c>
      <c r="D1524">
        <v>18885</v>
      </c>
      <c r="E1524" t="s">
        <v>86</v>
      </c>
      <c r="F1524" t="s">
        <v>60</v>
      </c>
      <c r="G1524" t="s">
        <v>87</v>
      </c>
      <c r="H1524" t="s">
        <v>88</v>
      </c>
      <c r="I1524" t="s">
        <v>31</v>
      </c>
      <c r="J1524">
        <v>596</v>
      </c>
      <c r="K1524" t="s">
        <v>89</v>
      </c>
      <c r="N1524">
        <v>9</v>
      </c>
      <c r="O1524">
        <v>0.42749999999999999</v>
      </c>
      <c r="P1524" t="s">
        <v>38</v>
      </c>
      <c r="Q1524" s="1">
        <v>1</v>
      </c>
      <c r="R1524" t="s">
        <v>1272</v>
      </c>
      <c r="S1524" t="str">
        <f t="shared" si="10"/>
        <v>Phù hợp 1 phần</v>
      </c>
    </row>
    <row r="1525" spans="1:19" hidden="1" x14ac:dyDescent="0.3">
      <c r="A1525" t="s">
        <v>1202</v>
      </c>
      <c r="B1525" t="s">
        <v>1203</v>
      </c>
      <c r="C1525" t="s">
        <v>1079</v>
      </c>
      <c r="D1525">
        <v>20803</v>
      </c>
      <c r="E1525" t="s">
        <v>94</v>
      </c>
      <c r="F1525" t="s">
        <v>95</v>
      </c>
      <c r="G1525" t="s">
        <v>96</v>
      </c>
      <c r="H1525" t="s">
        <v>97</v>
      </c>
      <c r="I1525" t="s">
        <v>31</v>
      </c>
      <c r="J1525">
        <v>100</v>
      </c>
      <c r="K1525" t="s">
        <v>98</v>
      </c>
      <c r="L1525">
        <v>9</v>
      </c>
      <c r="M1525">
        <v>15.429399999999999</v>
      </c>
      <c r="P1525" t="s">
        <v>33</v>
      </c>
      <c r="Q1525" s="1">
        <v>0</v>
      </c>
      <c r="R1525" t="s">
        <v>1272</v>
      </c>
      <c r="S1525" t="str">
        <f t="shared" si="10"/>
        <v>ko hợp</v>
      </c>
    </row>
    <row r="1526" spans="1:19" hidden="1" x14ac:dyDescent="0.3">
      <c r="A1526" t="s">
        <v>1202</v>
      </c>
      <c r="B1526" t="s">
        <v>1203</v>
      </c>
      <c r="C1526" t="s">
        <v>1079</v>
      </c>
      <c r="D1526">
        <v>16145</v>
      </c>
      <c r="E1526" t="s">
        <v>182</v>
      </c>
      <c r="F1526" t="s">
        <v>155</v>
      </c>
      <c r="G1526" t="s">
        <v>183</v>
      </c>
      <c r="H1526" t="s">
        <v>184</v>
      </c>
      <c r="I1526" t="s">
        <v>31</v>
      </c>
      <c r="J1526">
        <v>2447</v>
      </c>
      <c r="K1526" t="s">
        <v>185</v>
      </c>
      <c r="N1526">
        <v>10</v>
      </c>
      <c r="O1526">
        <v>0.42680000000000001</v>
      </c>
      <c r="P1526" t="s">
        <v>38</v>
      </c>
      <c r="Q1526" s="1">
        <v>1</v>
      </c>
      <c r="R1526" t="s">
        <v>1272</v>
      </c>
      <c r="S1526" t="str">
        <f t="shared" si="10"/>
        <v>Phù hợp 1 phần</v>
      </c>
    </row>
    <row r="1527" spans="1:19" hidden="1" x14ac:dyDescent="0.3">
      <c r="A1527" t="s">
        <v>1202</v>
      </c>
      <c r="B1527" t="s">
        <v>1203</v>
      </c>
      <c r="C1527" t="s">
        <v>1079</v>
      </c>
      <c r="D1527">
        <v>20185</v>
      </c>
      <c r="E1527" t="s">
        <v>885</v>
      </c>
      <c r="F1527" t="s">
        <v>842</v>
      </c>
      <c r="G1527" t="s">
        <v>886</v>
      </c>
      <c r="H1527" t="s">
        <v>887</v>
      </c>
      <c r="I1527" t="s">
        <v>31</v>
      </c>
      <c r="J1527">
        <v>674</v>
      </c>
      <c r="K1527" t="s">
        <v>888</v>
      </c>
      <c r="L1527">
        <v>10</v>
      </c>
      <c r="M1527">
        <v>15.373799999999999</v>
      </c>
      <c r="P1527" t="s">
        <v>33</v>
      </c>
      <c r="Q1527" s="1">
        <v>1</v>
      </c>
      <c r="R1527" t="s">
        <v>1272</v>
      </c>
      <c r="S1527" t="str">
        <f t="shared" si="10"/>
        <v>Phù hợp 1 phần</v>
      </c>
    </row>
    <row r="1528" spans="1:19" hidden="1" x14ac:dyDescent="0.3">
      <c r="A1528" t="s">
        <v>1212</v>
      </c>
      <c r="B1528" t="s">
        <v>1213</v>
      </c>
      <c r="C1528" t="s">
        <v>1079</v>
      </c>
      <c r="D1528">
        <v>10623</v>
      </c>
      <c r="E1528" t="s">
        <v>817</v>
      </c>
      <c r="F1528" t="s">
        <v>74</v>
      </c>
      <c r="G1528" t="s">
        <v>818</v>
      </c>
      <c r="H1528" t="s">
        <v>819</v>
      </c>
      <c r="I1528" t="s">
        <v>25</v>
      </c>
      <c r="J1528">
        <v>578</v>
      </c>
      <c r="K1528" t="s">
        <v>820</v>
      </c>
      <c r="L1528">
        <v>2</v>
      </c>
      <c r="M1528">
        <v>22.877199999999998</v>
      </c>
      <c r="N1528">
        <v>1</v>
      </c>
      <c r="O1528">
        <v>0.49109999999999998</v>
      </c>
      <c r="P1528" t="s">
        <v>27</v>
      </c>
      <c r="Q1528" s="1">
        <v>2</v>
      </c>
      <c r="R1528" t="s">
        <v>1272</v>
      </c>
      <c r="S1528" t="str">
        <f t="shared" si="10"/>
        <v>ok</v>
      </c>
    </row>
    <row r="1529" spans="1:19" hidden="1" x14ac:dyDescent="0.3">
      <c r="A1529" t="s">
        <v>1212</v>
      </c>
      <c r="B1529" t="s">
        <v>1213</v>
      </c>
      <c r="C1529" t="s">
        <v>1079</v>
      </c>
      <c r="D1529">
        <v>14073</v>
      </c>
      <c r="E1529" t="s">
        <v>258</v>
      </c>
      <c r="F1529" t="s">
        <v>74</v>
      </c>
      <c r="G1529" t="s">
        <v>259</v>
      </c>
      <c r="H1529" t="s">
        <v>260</v>
      </c>
      <c r="I1529" t="s">
        <v>31</v>
      </c>
      <c r="J1529">
        <v>494</v>
      </c>
      <c r="K1529" t="s">
        <v>261</v>
      </c>
      <c r="L1529">
        <v>1</v>
      </c>
      <c r="M1529">
        <v>26.879200000000001</v>
      </c>
      <c r="N1529">
        <v>6</v>
      </c>
      <c r="O1529">
        <v>0.45069999999999999</v>
      </c>
      <c r="P1529" t="s">
        <v>27</v>
      </c>
      <c r="Q1529" s="1">
        <v>2</v>
      </c>
      <c r="R1529" t="s">
        <v>1272</v>
      </c>
      <c r="S1529" t="str">
        <f t="shared" si="10"/>
        <v>ok</v>
      </c>
    </row>
    <row r="1530" spans="1:19" hidden="1" x14ac:dyDescent="0.3">
      <c r="A1530" t="s">
        <v>1212</v>
      </c>
      <c r="B1530" t="s">
        <v>1213</v>
      </c>
      <c r="C1530" t="s">
        <v>1079</v>
      </c>
      <c r="D1530">
        <v>16388</v>
      </c>
      <c r="E1530" t="s">
        <v>240</v>
      </c>
      <c r="F1530" t="s">
        <v>74</v>
      </c>
      <c r="G1530" t="s">
        <v>241</v>
      </c>
      <c r="H1530" t="s">
        <v>242</v>
      </c>
      <c r="I1530" t="s">
        <v>25</v>
      </c>
      <c r="J1530">
        <v>246</v>
      </c>
      <c r="K1530" t="s">
        <v>243</v>
      </c>
      <c r="N1530">
        <v>2</v>
      </c>
      <c r="O1530">
        <v>0.47639999999999999</v>
      </c>
      <c r="P1530" t="s">
        <v>38</v>
      </c>
      <c r="Q1530" s="1">
        <v>2</v>
      </c>
      <c r="R1530" t="s">
        <v>1272</v>
      </c>
      <c r="S1530" t="str">
        <f t="shared" si="10"/>
        <v>ok</v>
      </c>
    </row>
    <row r="1531" spans="1:19" hidden="1" x14ac:dyDescent="0.3">
      <c r="A1531" t="s">
        <v>1212</v>
      </c>
      <c r="B1531" t="s">
        <v>1213</v>
      </c>
      <c r="C1531" t="s">
        <v>1079</v>
      </c>
      <c r="D1531">
        <v>11918</v>
      </c>
      <c r="E1531" t="s">
        <v>133</v>
      </c>
      <c r="F1531" t="s">
        <v>60</v>
      </c>
      <c r="G1531" t="s">
        <v>134</v>
      </c>
      <c r="H1531" t="s">
        <v>135</v>
      </c>
      <c r="I1531" t="s">
        <v>25</v>
      </c>
      <c r="J1531">
        <v>3604</v>
      </c>
      <c r="K1531" t="s">
        <v>136</v>
      </c>
      <c r="L1531">
        <v>3</v>
      </c>
      <c r="M1531">
        <v>21.4513</v>
      </c>
      <c r="P1531" t="s">
        <v>33</v>
      </c>
      <c r="Q1531" s="1">
        <v>0</v>
      </c>
      <c r="R1531" t="s">
        <v>1272</v>
      </c>
      <c r="S1531" t="str">
        <f t="shared" si="10"/>
        <v>ko hợp</v>
      </c>
    </row>
    <row r="1532" spans="1:19" hidden="1" x14ac:dyDescent="0.3">
      <c r="A1532" t="s">
        <v>1212</v>
      </c>
      <c r="B1532" t="s">
        <v>1213</v>
      </c>
      <c r="C1532" t="s">
        <v>1079</v>
      </c>
      <c r="D1532">
        <v>13674</v>
      </c>
      <c r="E1532" t="s">
        <v>78</v>
      </c>
      <c r="F1532" t="s">
        <v>22</v>
      </c>
      <c r="G1532" t="s">
        <v>79</v>
      </c>
      <c r="H1532" t="s">
        <v>80</v>
      </c>
      <c r="I1532" t="s">
        <v>31</v>
      </c>
      <c r="J1532">
        <v>1127</v>
      </c>
      <c r="K1532" t="s">
        <v>81</v>
      </c>
      <c r="N1532">
        <v>3</v>
      </c>
      <c r="O1532">
        <v>0.47339999999999999</v>
      </c>
      <c r="P1532" t="s">
        <v>38</v>
      </c>
      <c r="Q1532" s="1">
        <v>0</v>
      </c>
      <c r="R1532" t="s">
        <v>1272</v>
      </c>
      <c r="S1532" t="str">
        <f t="shared" si="10"/>
        <v>ko hợp</v>
      </c>
    </row>
    <row r="1533" spans="1:19" hidden="1" x14ac:dyDescent="0.3">
      <c r="A1533" t="s">
        <v>1212</v>
      </c>
      <c r="B1533" t="s">
        <v>1213</v>
      </c>
      <c r="C1533" t="s">
        <v>1079</v>
      </c>
      <c r="D1533">
        <v>7166</v>
      </c>
      <c r="E1533" t="s">
        <v>1214</v>
      </c>
      <c r="F1533" t="s">
        <v>60</v>
      </c>
      <c r="G1533" t="s">
        <v>1215</v>
      </c>
      <c r="H1533" t="s">
        <v>1216</v>
      </c>
      <c r="I1533" t="s">
        <v>25</v>
      </c>
      <c r="J1533">
        <v>297</v>
      </c>
      <c r="K1533" t="s">
        <v>1217</v>
      </c>
      <c r="L1533">
        <v>4</v>
      </c>
      <c r="M1533">
        <v>21.3689</v>
      </c>
      <c r="P1533" t="s">
        <v>33</v>
      </c>
      <c r="Q1533" s="1">
        <v>0</v>
      </c>
      <c r="R1533" t="s">
        <v>1272</v>
      </c>
      <c r="S1533" t="str">
        <f t="shared" si="10"/>
        <v>ko hợp</v>
      </c>
    </row>
    <row r="1534" spans="1:19" hidden="1" x14ac:dyDescent="0.3">
      <c r="A1534" t="s">
        <v>1212</v>
      </c>
      <c r="B1534" t="s">
        <v>1213</v>
      </c>
      <c r="C1534" t="s">
        <v>1079</v>
      </c>
      <c r="D1534">
        <v>20764</v>
      </c>
      <c r="E1534" t="s">
        <v>278</v>
      </c>
      <c r="F1534" t="s">
        <v>60</v>
      </c>
      <c r="G1534" t="s">
        <v>279</v>
      </c>
      <c r="H1534" t="s">
        <v>280</v>
      </c>
      <c r="I1534" t="s">
        <v>25</v>
      </c>
      <c r="J1534">
        <v>483</v>
      </c>
      <c r="K1534" t="s">
        <v>281</v>
      </c>
      <c r="L1534">
        <v>9</v>
      </c>
      <c r="M1534">
        <v>17.646699999999999</v>
      </c>
      <c r="N1534">
        <v>4</v>
      </c>
      <c r="O1534">
        <v>0.4632</v>
      </c>
      <c r="P1534" t="s">
        <v>27</v>
      </c>
      <c r="Q1534" s="1">
        <v>0</v>
      </c>
      <c r="R1534" t="s">
        <v>1272</v>
      </c>
      <c r="S1534" t="str">
        <f t="shared" si="10"/>
        <v>ko hợp</v>
      </c>
    </row>
    <row r="1535" spans="1:19" hidden="1" x14ac:dyDescent="0.3">
      <c r="A1535" t="s">
        <v>1212</v>
      </c>
      <c r="B1535" t="s">
        <v>1213</v>
      </c>
      <c r="C1535" t="s">
        <v>1079</v>
      </c>
      <c r="D1535">
        <v>19019</v>
      </c>
      <c r="E1535" t="s">
        <v>296</v>
      </c>
      <c r="F1535" t="s">
        <v>297</v>
      </c>
      <c r="G1535" t="s">
        <v>298</v>
      </c>
      <c r="H1535" t="s">
        <v>299</v>
      </c>
      <c r="I1535" t="s">
        <v>25</v>
      </c>
      <c r="J1535">
        <v>999</v>
      </c>
      <c r="K1535" t="s">
        <v>300</v>
      </c>
      <c r="L1535">
        <v>5</v>
      </c>
      <c r="M1535">
        <v>20.905100000000001</v>
      </c>
      <c r="N1535">
        <v>8</v>
      </c>
      <c r="O1535">
        <v>0.44540000000000002</v>
      </c>
      <c r="P1535" t="s">
        <v>27</v>
      </c>
      <c r="Q1535" s="1">
        <v>0</v>
      </c>
      <c r="R1535" t="s">
        <v>1272</v>
      </c>
      <c r="S1535" t="str">
        <f t="shared" si="10"/>
        <v>ko hợp</v>
      </c>
    </row>
    <row r="1536" spans="1:19" hidden="1" x14ac:dyDescent="0.3">
      <c r="A1536" t="s">
        <v>1212</v>
      </c>
      <c r="B1536" t="s">
        <v>1213</v>
      </c>
      <c r="C1536" t="s">
        <v>1079</v>
      </c>
      <c r="D1536">
        <v>20043</v>
      </c>
      <c r="E1536" t="s">
        <v>412</v>
      </c>
      <c r="F1536" t="s">
        <v>413</v>
      </c>
      <c r="G1536" t="s">
        <v>414</v>
      </c>
      <c r="H1536" t="s">
        <v>415</v>
      </c>
      <c r="I1536" t="s">
        <v>25</v>
      </c>
      <c r="J1536">
        <v>558</v>
      </c>
      <c r="K1536" t="s">
        <v>416</v>
      </c>
      <c r="N1536">
        <v>5</v>
      </c>
      <c r="O1536">
        <v>0.45450000000000002</v>
      </c>
      <c r="P1536" t="s">
        <v>38</v>
      </c>
      <c r="Q1536" s="1">
        <v>1</v>
      </c>
      <c r="R1536" t="s">
        <v>1272</v>
      </c>
      <c r="S1536" t="str">
        <f t="shared" si="10"/>
        <v>Phù hợp 1 phần</v>
      </c>
    </row>
    <row r="1537" spans="1:19" hidden="1" x14ac:dyDescent="0.3">
      <c r="A1537" t="s">
        <v>1212</v>
      </c>
      <c r="B1537" t="s">
        <v>1213</v>
      </c>
      <c r="C1537" t="s">
        <v>1079</v>
      </c>
      <c r="D1537">
        <v>13514</v>
      </c>
      <c r="E1537" t="s">
        <v>64</v>
      </c>
      <c r="F1537" t="s">
        <v>60</v>
      </c>
      <c r="G1537" t="s">
        <v>65</v>
      </c>
      <c r="H1537" t="s">
        <v>66</v>
      </c>
      <c r="I1537" t="s">
        <v>31</v>
      </c>
      <c r="J1537">
        <v>587</v>
      </c>
      <c r="K1537" t="s">
        <v>67</v>
      </c>
      <c r="L1537">
        <v>6</v>
      </c>
      <c r="M1537">
        <v>18.857900000000001</v>
      </c>
      <c r="P1537" t="s">
        <v>33</v>
      </c>
      <c r="Q1537" s="1">
        <v>0</v>
      </c>
      <c r="R1537" t="s">
        <v>1272</v>
      </c>
      <c r="S1537" t="str">
        <f t="shared" si="10"/>
        <v>ko hợp</v>
      </c>
    </row>
    <row r="1538" spans="1:19" hidden="1" x14ac:dyDescent="0.3">
      <c r="A1538" t="s">
        <v>1212</v>
      </c>
      <c r="B1538" t="s">
        <v>1213</v>
      </c>
      <c r="C1538" t="s">
        <v>1079</v>
      </c>
      <c r="D1538">
        <v>13739</v>
      </c>
      <c r="E1538" t="s">
        <v>358</v>
      </c>
      <c r="F1538" t="s">
        <v>288</v>
      </c>
      <c r="G1538" t="s">
        <v>359</v>
      </c>
      <c r="H1538" t="s">
        <v>360</v>
      </c>
      <c r="I1538" t="s">
        <v>31</v>
      </c>
      <c r="J1538">
        <v>610</v>
      </c>
      <c r="K1538" t="s">
        <v>361</v>
      </c>
      <c r="L1538">
        <v>7</v>
      </c>
      <c r="M1538">
        <v>18.783999999999999</v>
      </c>
      <c r="P1538" t="s">
        <v>33</v>
      </c>
      <c r="Q1538" s="1">
        <v>1</v>
      </c>
      <c r="R1538" t="s">
        <v>1272</v>
      </c>
      <c r="S1538" t="str">
        <f t="shared" si="10"/>
        <v>Phù hợp 1 phần</v>
      </c>
    </row>
    <row r="1539" spans="1:19" hidden="1" x14ac:dyDescent="0.3">
      <c r="A1539" t="s">
        <v>1212</v>
      </c>
      <c r="B1539" t="s">
        <v>1213</v>
      </c>
      <c r="C1539" t="s">
        <v>1079</v>
      </c>
      <c r="D1539">
        <v>20479</v>
      </c>
      <c r="E1539" t="s">
        <v>1002</v>
      </c>
      <c r="F1539" t="s">
        <v>1003</v>
      </c>
      <c r="G1539" t="s">
        <v>41</v>
      </c>
      <c r="H1539" t="s">
        <v>1004</v>
      </c>
      <c r="I1539" t="s">
        <v>25</v>
      </c>
      <c r="J1539">
        <v>576</v>
      </c>
      <c r="K1539" t="s">
        <v>1005</v>
      </c>
      <c r="N1539">
        <v>7</v>
      </c>
      <c r="O1539">
        <v>0.4466</v>
      </c>
      <c r="P1539" t="s">
        <v>38</v>
      </c>
      <c r="Q1539" s="1">
        <v>2</v>
      </c>
      <c r="R1539" t="s">
        <v>1272</v>
      </c>
      <c r="S1539" t="str">
        <f t="shared" si="10"/>
        <v>ok</v>
      </c>
    </row>
    <row r="1540" spans="1:19" hidden="1" x14ac:dyDescent="0.3">
      <c r="A1540" t="s">
        <v>1212</v>
      </c>
      <c r="B1540" t="s">
        <v>1213</v>
      </c>
      <c r="C1540" t="s">
        <v>1079</v>
      </c>
      <c r="D1540">
        <v>19397</v>
      </c>
      <c r="E1540" t="s">
        <v>758</v>
      </c>
      <c r="F1540" t="s">
        <v>60</v>
      </c>
      <c r="G1540" t="s">
        <v>759</v>
      </c>
      <c r="H1540" t="s">
        <v>760</v>
      </c>
      <c r="I1540" t="s">
        <v>31</v>
      </c>
      <c r="J1540">
        <v>528</v>
      </c>
      <c r="K1540" t="s">
        <v>761</v>
      </c>
      <c r="L1540">
        <v>8</v>
      </c>
      <c r="M1540">
        <v>17.8828</v>
      </c>
      <c r="P1540" t="s">
        <v>33</v>
      </c>
      <c r="Q1540" s="1">
        <v>0</v>
      </c>
      <c r="R1540" t="s">
        <v>1272</v>
      </c>
      <c r="S1540" t="str">
        <f t="shared" si="10"/>
        <v>ko hợp</v>
      </c>
    </row>
    <row r="1541" spans="1:19" hidden="1" x14ac:dyDescent="0.3">
      <c r="A1541" t="s">
        <v>1212</v>
      </c>
      <c r="B1541" t="s">
        <v>1213</v>
      </c>
      <c r="C1541" t="s">
        <v>1079</v>
      </c>
      <c r="D1541">
        <v>15013</v>
      </c>
      <c r="E1541" t="s">
        <v>59</v>
      </c>
      <c r="F1541" t="s">
        <v>60</v>
      </c>
      <c r="G1541" t="s">
        <v>61</v>
      </c>
      <c r="H1541" t="s">
        <v>62</v>
      </c>
      <c r="I1541" t="s">
        <v>25</v>
      </c>
      <c r="J1541">
        <v>550</v>
      </c>
      <c r="K1541" t="s">
        <v>63</v>
      </c>
      <c r="N1541">
        <v>9</v>
      </c>
      <c r="O1541">
        <v>0.44159999999999999</v>
      </c>
      <c r="P1541" t="s">
        <v>38</v>
      </c>
      <c r="Q1541" s="1">
        <v>0</v>
      </c>
      <c r="R1541" t="s">
        <v>1272</v>
      </c>
      <c r="S1541" t="str">
        <f t="shared" si="10"/>
        <v>ko hợp</v>
      </c>
    </row>
    <row r="1542" spans="1:19" hidden="1" x14ac:dyDescent="0.3">
      <c r="A1542" t="s">
        <v>1212</v>
      </c>
      <c r="B1542" t="s">
        <v>1213</v>
      </c>
      <c r="C1542" t="s">
        <v>1079</v>
      </c>
      <c r="D1542">
        <v>15086</v>
      </c>
      <c r="E1542" t="s">
        <v>1148</v>
      </c>
      <c r="F1542" t="s">
        <v>74</v>
      </c>
      <c r="G1542" t="s">
        <v>275</v>
      </c>
      <c r="H1542" t="s">
        <v>1149</v>
      </c>
      <c r="I1542" t="s">
        <v>31</v>
      </c>
      <c r="J1542">
        <v>272</v>
      </c>
      <c r="K1542" t="s">
        <v>1150</v>
      </c>
      <c r="L1542">
        <v>10</v>
      </c>
      <c r="M1542">
        <v>17.030999999999999</v>
      </c>
      <c r="P1542" t="s">
        <v>33</v>
      </c>
      <c r="Q1542" s="1">
        <v>1</v>
      </c>
      <c r="R1542" t="s">
        <v>1272</v>
      </c>
      <c r="S1542" t="str">
        <f t="shared" si="10"/>
        <v>Phù hợp 1 phần</v>
      </c>
    </row>
    <row r="1543" spans="1:19" hidden="1" x14ac:dyDescent="0.3">
      <c r="A1543" t="s">
        <v>1212</v>
      </c>
      <c r="B1543" t="s">
        <v>1213</v>
      </c>
      <c r="C1543" t="s">
        <v>1079</v>
      </c>
      <c r="D1543">
        <v>20022</v>
      </c>
      <c r="E1543" t="s">
        <v>1218</v>
      </c>
      <c r="F1543" t="s">
        <v>22</v>
      </c>
      <c r="G1543" t="s">
        <v>1219</v>
      </c>
      <c r="H1543" t="s">
        <v>1220</v>
      </c>
      <c r="I1543" t="s">
        <v>31</v>
      </c>
      <c r="J1543">
        <v>551</v>
      </c>
      <c r="K1543" t="s">
        <v>1221</v>
      </c>
      <c r="N1543">
        <v>10</v>
      </c>
      <c r="O1543">
        <v>0.44090000000000001</v>
      </c>
      <c r="P1543" t="s">
        <v>38</v>
      </c>
      <c r="Q1543" s="1">
        <v>0</v>
      </c>
      <c r="R1543" t="s">
        <v>1272</v>
      </c>
      <c r="S1543" t="str">
        <f t="shared" si="10"/>
        <v>ko hợp</v>
      </c>
    </row>
    <row r="1544" spans="1:19" hidden="1" x14ac:dyDescent="0.3">
      <c r="A1544" t="s">
        <v>1222</v>
      </c>
      <c r="B1544" t="s">
        <v>1223</v>
      </c>
      <c r="C1544" t="s">
        <v>1224</v>
      </c>
      <c r="D1544">
        <v>9821</v>
      </c>
      <c r="E1544" t="s">
        <v>21</v>
      </c>
      <c r="F1544" t="s">
        <v>22</v>
      </c>
      <c r="G1544" t="s">
        <v>23</v>
      </c>
      <c r="H1544" t="s">
        <v>24</v>
      </c>
      <c r="I1544" t="s">
        <v>25</v>
      </c>
      <c r="J1544">
        <v>998</v>
      </c>
      <c r="K1544" t="s">
        <v>26</v>
      </c>
      <c r="N1544">
        <v>1</v>
      </c>
      <c r="O1544">
        <v>0.44390000000000002</v>
      </c>
      <c r="P1544" t="s">
        <v>38</v>
      </c>
      <c r="Q1544" s="1">
        <v>2</v>
      </c>
      <c r="R1544" t="s">
        <v>1272</v>
      </c>
      <c r="S1544" t="str">
        <f t="shared" si="10"/>
        <v>ok</v>
      </c>
    </row>
    <row r="1545" spans="1:19" hidden="1" x14ac:dyDescent="0.3">
      <c r="A1545" t="s">
        <v>1222</v>
      </c>
      <c r="B1545" t="s">
        <v>1223</v>
      </c>
      <c r="C1545" t="s">
        <v>1224</v>
      </c>
      <c r="D1545">
        <v>19982</v>
      </c>
      <c r="E1545" t="s">
        <v>28</v>
      </c>
      <c r="F1545" t="s">
        <v>22</v>
      </c>
      <c r="G1545" t="s">
        <v>29</v>
      </c>
      <c r="H1545" t="s">
        <v>30</v>
      </c>
      <c r="I1545" t="s">
        <v>31</v>
      </c>
      <c r="J1545">
        <v>543</v>
      </c>
      <c r="K1545" t="s">
        <v>32</v>
      </c>
      <c r="L1545">
        <v>1</v>
      </c>
      <c r="M1545">
        <v>13.177300000000001</v>
      </c>
      <c r="P1545" t="s">
        <v>33</v>
      </c>
      <c r="Q1545" s="1">
        <v>0</v>
      </c>
      <c r="R1545" t="s">
        <v>1272</v>
      </c>
      <c r="S1545" t="str">
        <f t="shared" si="10"/>
        <v>ko hợp</v>
      </c>
    </row>
    <row r="1546" spans="1:19" hidden="1" x14ac:dyDescent="0.3">
      <c r="A1546" t="s">
        <v>1222</v>
      </c>
      <c r="B1546" t="s">
        <v>1223</v>
      </c>
      <c r="C1546" t="s">
        <v>1224</v>
      </c>
      <c r="D1546">
        <v>19710</v>
      </c>
      <c r="E1546" t="s">
        <v>199</v>
      </c>
      <c r="F1546" t="s">
        <v>200</v>
      </c>
      <c r="G1546" t="s">
        <v>201</v>
      </c>
      <c r="H1546" t="s">
        <v>202</v>
      </c>
      <c r="I1546" t="s">
        <v>31</v>
      </c>
      <c r="J1546">
        <v>262</v>
      </c>
      <c r="K1546" t="s">
        <v>203</v>
      </c>
      <c r="L1546">
        <v>2</v>
      </c>
      <c r="M1546">
        <v>10.4726</v>
      </c>
      <c r="P1546" t="s">
        <v>33</v>
      </c>
      <c r="Q1546" s="1">
        <v>0</v>
      </c>
      <c r="R1546" t="s">
        <v>1272</v>
      </c>
      <c r="S1546" t="str">
        <f t="shared" si="10"/>
        <v>ko hợp</v>
      </c>
    </row>
    <row r="1547" spans="1:19" hidden="1" x14ac:dyDescent="0.3">
      <c r="A1547" t="s">
        <v>1222</v>
      </c>
      <c r="B1547" t="s">
        <v>1223</v>
      </c>
      <c r="C1547" t="s">
        <v>1224</v>
      </c>
      <c r="D1547">
        <v>20773</v>
      </c>
      <c r="E1547" t="s">
        <v>109</v>
      </c>
      <c r="F1547" t="s">
        <v>60</v>
      </c>
      <c r="G1547" t="s">
        <v>41</v>
      </c>
      <c r="H1547" t="s">
        <v>110</v>
      </c>
      <c r="I1547" t="s">
        <v>25</v>
      </c>
      <c r="J1547">
        <v>1156</v>
      </c>
      <c r="K1547" t="s">
        <v>111</v>
      </c>
      <c r="N1547">
        <v>2</v>
      </c>
      <c r="O1547">
        <v>0.41889999999999999</v>
      </c>
      <c r="P1547" t="s">
        <v>38</v>
      </c>
      <c r="Q1547" s="1">
        <v>0</v>
      </c>
      <c r="R1547" t="s">
        <v>1272</v>
      </c>
      <c r="S1547" t="str">
        <f t="shared" si="10"/>
        <v>ko hợp</v>
      </c>
    </row>
    <row r="1548" spans="1:19" hidden="1" x14ac:dyDescent="0.3">
      <c r="A1548" t="s">
        <v>1222</v>
      </c>
      <c r="B1548" t="s">
        <v>1223</v>
      </c>
      <c r="C1548" t="s">
        <v>1224</v>
      </c>
      <c r="D1548">
        <v>15093</v>
      </c>
      <c r="E1548" t="s">
        <v>452</v>
      </c>
      <c r="F1548" t="s">
        <v>60</v>
      </c>
      <c r="G1548" t="s">
        <v>453</v>
      </c>
      <c r="H1548" t="s">
        <v>454</v>
      </c>
      <c r="I1548" t="s">
        <v>31</v>
      </c>
      <c r="J1548">
        <v>892</v>
      </c>
      <c r="K1548" t="s">
        <v>455</v>
      </c>
      <c r="N1548">
        <v>3</v>
      </c>
      <c r="O1548">
        <v>0.41549999999999998</v>
      </c>
      <c r="P1548" t="s">
        <v>38</v>
      </c>
      <c r="Q1548" s="1">
        <v>0</v>
      </c>
      <c r="R1548" t="s">
        <v>1272</v>
      </c>
      <c r="S1548" t="str">
        <f t="shared" si="10"/>
        <v>ko hợp</v>
      </c>
    </row>
    <row r="1549" spans="1:19" hidden="1" x14ac:dyDescent="0.3">
      <c r="A1549" t="s">
        <v>1222</v>
      </c>
      <c r="B1549" t="s">
        <v>1223</v>
      </c>
      <c r="C1549" t="s">
        <v>1224</v>
      </c>
      <c r="D1549">
        <v>20789</v>
      </c>
      <c r="E1549" t="s">
        <v>39</v>
      </c>
      <c r="F1549" t="s">
        <v>40</v>
      </c>
      <c r="G1549" t="s">
        <v>41</v>
      </c>
      <c r="H1549" t="s">
        <v>42</v>
      </c>
      <c r="I1549" t="s">
        <v>25</v>
      </c>
      <c r="J1549">
        <v>810</v>
      </c>
      <c r="K1549" t="s">
        <v>43</v>
      </c>
      <c r="L1549">
        <v>3</v>
      </c>
      <c r="M1549">
        <v>9.1974999999999998</v>
      </c>
      <c r="P1549" t="s">
        <v>33</v>
      </c>
      <c r="Q1549" s="1">
        <v>0</v>
      </c>
      <c r="R1549" t="s">
        <v>1272</v>
      </c>
      <c r="S1549" t="str">
        <f t="shared" ref="S1549:S1612" si="11">IF(Q1549=2,"ok",IF(Q1549=1,"Phù hợp 1 phần", "ko hợp"))</f>
        <v>ko hợp</v>
      </c>
    </row>
    <row r="1550" spans="1:19" hidden="1" x14ac:dyDescent="0.3">
      <c r="A1550" t="s">
        <v>1222</v>
      </c>
      <c r="B1550" t="s">
        <v>1223</v>
      </c>
      <c r="C1550" t="s">
        <v>1224</v>
      </c>
      <c r="D1550">
        <v>15013</v>
      </c>
      <c r="E1550" t="s">
        <v>59</v>
      </c>
      <c r="F1550" t="s">
        <v>60</v>
      </c>
      <c r="G1550" t="s">
        <v>61</v>
      </c>
      <c r="H1550" t="s">
        <v>62</v>
      </c>
      <c r="I1550" t="s">
        <v>25</v>
      </c>
      <c r="J1550">
        <v>550</v>
      </c>
      <c r="K1550" t="s">
        <v>63</v>
      </c>
      <c r="N1550">
        <v>4</v>
      </c>
      <c r="O1550">
        <v>0.40799999999999997</v>
      </c>
      <c r="P1550" t="s">
        <v>38</v>
      </c>
      <c r="Q1550" s="1">
        <v>0</v>
      </c>
      <c r="R1550" t="s">
        <v>1272</v>
      </c>
      <c r="S1550" t="str">
        <f t="shared" si="11"/>
        <v>ko hợp</v>
      </c>
    </row>
    <row r="1551" spans="1:19" hidden="1" x14ac:dyDescent="0.3">
      <c r="A1551" t="s">
        <v>1222</v>
      </c>
      <c r="B1551" t="s">
        <v>1223</v>
      </c>
      <c r="C1551" t="s">
        <v>1224</v>
      </c>
      <c r="D1551">
        <v>20472</v>
      </c>
      <c r="E1551" t="s">
        <v>487</v>
      </c>
      <c r="F1551" t="s">
        <v>60</v>
      </c>
      <c r="G1551" t="s">
        <v>488</v>
      </c>
      <c r="H1551" t="s">
        <v>489</v>
      </c>
      <c r="I1551" t="s">
        <v>25</v>
      </c>
      <c r="J1551">
        <v>579</v>
      </c>
      <c r="K1551" t="s">
        <v>490</v>
      </c>
      <c r="L1551">
        <v>4</v>
      </c>
      <c r="M1551">
        <v>9.1569000000000003</v>
      </c>
      <c r="P1551" t="s">
        <v>33</v>
      </c>
      <c r="Q1551" s="1">
        <v>0</v>
      </c>
      <c r="R1551" t="s">
        <v>1272</v>
      </c>
      <c r="S1551" t="str">
        <f t="shared" si="11"/>
        <v>ko hợp</v>
      </c>
    </row>
    <row r="1552" spans="1:19" hidden="1" x14ac:dyDescent="0.3">
      <c r="A1552" t="s">
        <v>1222</v>
      </c>
      <c r="B1552" t="s">
        <v>1223</v>
      </c>
      <c r="C1552" t="s">
        <v>1224</v>
      </c>
      <c r="D1552">
        <v>17519</v>
      </c>
      <c r="E1552" t="s">
        <v>34</v>
      </c>
      <c r="F1552" t="s">
        <v>22</v>
      </c>
      <c r="G1552" t="s">
        <v>35</v>
      </c>
      <c r="H1552" t="s">
        <v>36</v>
      </c>
      <c r="I1552" t="s">
        <v>25</v>
      </c>
      <c r="J1552">
        <v>2690</v>
      </c>
      <c r="K1552" t="s">
        <v>37</v>
      </c>
      <c r="N1552">
        <v>5</v>
      </c>
      <c r="O1552">
        <v>0.40100000000000002</v>
      </c>
      <c r="P1552" t="s">
        <v>38</v>
      </c>
      <c r="Q1552" s="1">
        <v>2</v>
      </c>
      <c r="R1552" t="s">
        <v>1272</v>
      </c>
      <c r="S1552" t="str">
        <f t="shared" si="11"/>
        <v>ok</v>
      </c>
    </row>
    <row r="1553" spans="1:19" hidden="1" x14ac:dyDescent="0.3">
      <c r="A1553" t="s">
        <v>1222</v>
      </c>
      <c r="B1553" t="s">
        <v>1223</v>
      </c>
      <c r="C1553" t="s">
        <v>1224</v>
      </c>
      <c r="D1553">
        <v>20764</v>
      </c>
      <c r="E1553" t="s">
        <v>278</v>
      </c>
      <c r="F1553" t="s">
        <v>60</v>
      </c>
      <c r="G1553" t="s">
        <v>279</v>
      </c>
      <c r="H1553" t="s">
        <v>280</v>
      </c>
      <c r="I1553" t="s">
        <v>25</v>
      </c>
      <c r="J1553">
        <v>483</v>
      </c>
      <c r="K1553" t="s">
        <v>281</v>
      </c>
      <c r="L1553">
        <v>5</v>
      </c>
      <c r="M1553">
        <v>8.8156999999999996</v>
      </c>
      <c r="P1553" t="s">
        <v>33</v>
      </c>
      <c r="Q1553" s="1">
        <v>0</v>
      </c>
      <c r="R1553" t="s">
        <v>1272</v>
      </c>
      <c r="S1553" t="str">
        <f t="shared" si="11"/>
        <v>ko hợp</v>
      </c>
    </row>
    <row r="1554" spans="1:19" hidden="1" x14ac:dyDescent="0.3">
      <c r="A1554" t="s">
        <v>1222</v>
      </c>
      <c r="B1554" t="s">
        <v>1223</v>
      </c>
      <c r="C1554" t="s">
        <v>1224</v>
      </c>
      <c r="D1554">
        <v>19992</v>
      </c>
      <c r="E1554" t="s">
        <v>408</v>
      </c>
      <c r="F1554" t="s">
        <v>22</v>
      </c>
      <c r="G1554" t="s">
        <v>409</v>
      </c>
      <c r="H1554" t="s">
        <v>410</v>
      </c>
      <c r="I1554" t="s">
        <v>31</v>
      </c>
      <c r="J1554">
        <v>553</v>
      </c>
      <c r="K1554" t="s">
        <v>411</v>
      </c>
      <c r="N1554">
        <v>6</v>
      </c>
      <c r="O1554">
        <v>0.39479999999999998</v>
      </c>
      <c r="P1554" t="s">
        <v>38</v>
      </c>
      <c r="Q1554" s="1">
        <v>2</v>
      </c>
      <c r="R1554" t="s">
        <v>1272</v>
      </c>
      <c r="S1554" t="str">
        <f t="shared" si="11"/>
        <v>ok</v>
      </c>
    </row>
    <row r="1555" spans="1:19" hidden="1" x14ac:dyDescent="0.3">
      <c r="A1555" t="s">
        <v>1222</v>
      </c>
      <c r="B1555" t="s">
        <v>1223</v>
      </c>
      <c r="C1555" t="s">
        <v>1224</v>
      </c>
      <c r="D1555">
        <v>20713</v>
      </c>
      <c r="E1555" t="s">
        <v>1225</v>
      </c>
      <c r="F1555" t="s">
        <v>60</v>
      </c>
      <c r="G1555" t="s">
        <v>1226</v>
      </c>
      <c r="H1555" t="s">
        <v>1227</v>
      </c>
      <c r="I1555" t="s">
        <v>25</v>
      </c>
      <c r="J1555">
        <v>465</v>
      </c>
      <c r="K1555" t="s">
        <v>1228</v>
      </c>
      <c r="L1555">
        <v>6</v>
      </c>
      <c r="M1555">
        <v>8.5200999999999993</v>
      </c>
      <c r="P1555" t="s">
        <v>33</v>
      </c>
      <c r="Q1555" s="1">
        <v>0</v>
      </c>
      <c r="R1555" t="s">
        <v>1272</v>
      </c>
      <c r="S1555" t="str">
        <f t="shared" si="11"/>
        <v>ko hợp</v>
      </c>
    </row>
    <row r="1556" spans="1:19" hidden="1" x14ac:dyDescent="0.3">
      <c r="A1556" t="s">
        <v>1222</v>
      </c>
      <c r="B1556" t="s">
        <v>1223</v>
      </c>
      <c r="C1556" t="s">
        <v>1224</v>
      </c>
      <c r="D1556">
        <v>12737</v>
      </c>
      <c r="E1556" t="s">
        <v>588</v>
      </c>
      <c r="F1556" t="s">
        <v>22</v>
      </c>
      <c r="G1556" t="s">
        <v>589</v>
      </c>
      <c r="H1556" t="s">
        <v>590</v>
      </c>
      <c r="I1556" t="s">
        <v>31</v>
      </c>
      <c r="J1556">
        <v>1553</v>
      </c>
      <c r="K1556" t="s">
        <v>591</v>
      </c>
      <c r="L1556">
        <v>7</v>
      </c>
      <c r="M1556">
        <v>8.5128000000000004</v>
      </c>
      <c r="P1556" t="s">
        <v>33</v>
      </c>
      <c r="Q1556" s="1">
        <v>2</v>
      </c>
      <c r="R1556" t="s">
        <v>1272</v>
      </c>
      <c r="S1556" t="str">
        <f t="shared" si="11"/>
        <v>ok</v>
      </c>
    </row>
    <row r="1557" spans="1:19" hidden="1" x14ac:dyDescent="0.3">
      <c r="A1557" t="s">
        <v>1222</v>
      </c>
      <c r="B1557" t="s">
        <v>1223</v>
      </c>
      <c r="C1557" t="s">
        <v>1224</v>
      </c>
      <c r="D1557">
        <v>16211</v>
      </c>
      <c r="E1557" t="s">
        <v>266</v>
      </c>
      <c r="F1557" t="s">
        <v>74</v>
      </c>
      <c r="G1557" t="s">
        <v>267</v>
      </c>
      <c r="H1557" t="s">
        <v>268</v>
      </c>
      <c r="I1557" t="s">
        <v>31</v>
      </c>
      <c r="J1557">
        <v>1579</v>
      </c>
      <c r="K1557" t="s">
        <v>269</v>
      </c>
      <c r="N1557">
        <v>7</v>
      </c>
      <c r="O1557">
        <v>0.38850000000000001</v>
      </c>
      <c r="P1557" t="s">
        <v>38</v>
      </c>
      <c r="Q1557" s="1">
        <v>0</v>
      </c>
      <c r="R1557" t="s">
        <v>1272</v>
      </c>
      <c r="S1557" t="str">
        <f t="shared" si="11"/>
        <v>ko hợp</v>
      </c>
    </row>
    <row r="1558" spans="1:19" hidden="1" x14ac:dyDescent="0.3">
      <c r="A1558" t="s">
        <v>1222</v>
      </c>
      <c r="B1558" t="s">
        <v>1223</v>
      </c>
      <c r="C1558" t="s">
        <v>1224</v>
      </c>
      <c r="D1558">
        <v>15839</v>
      </c>
      <c r="E1558" t="s">
        <v>154</v>
      </c>
      <c r="F1558" t="s">
        <v>155</v>
      </c>
      <c r="G1558" t="s">
        <v>156</v>
      </c>
      <c r="H1558" t="s">
        <v>157</v>
      </c>
      <c r="I1558" t="s">
        <v>25</v>
      </c>
      <c r="J1558">
        <v>298</v>
      </c>
      <c r="K1558" t="s">
        <v>158</v>
      </c>
      <c r="L1558">
        <v>8</v>
      </c>
      <c r="M1558">
        <v>7.7728000000000002</v>
      </c>
      <c r="P1558" t="s">
        <v>33</v>
      </c>
      <c r="Q1558" s="1">
        <v>0</v>
      </c>
      <c r="R1558" t="s">
        <v>1272</v>
      </c>
      <c r="S1558" t="str">
        <f t="shared" si="11"/>
        <v>ko hợp</v>
      </c>
    </row>
    <row r="1559" spans="1:19" hidden="1" x14ac:dyDescent="0.3">
      <c r="A1559" t="s">
        <v>1222</v>
      </c>
      <c r="B1559" t="s">
        <v>1223</v>
      </c>
      <c r="C1559" t="s">
        <v>1224</v>
      </c>
      <c r="D1559">
        <v>16290</v>
      </c>
      <c r="E1559" t="s">
        <v>799</v>
      </c>
      <c r="F1559" t="s">
        <v>74</v>
      </c>
      <c r="G1559" t="s">
        <v>800</v>
      </c>
      <c r="H1559" t="s">
        <v>801</v>
      </c>
      <c r="I1559" t="s">
        <v>25</v>
      </c>
      <c r="J1559">
        <v>511</v>
      </c>
      <c r="K1559" t="s">
        <v>802</v>
      </c>
      <c r="N1559">
        <v>8</v>
      </c>
      <c r="O1559">
        <v>0.38769999999999999</v>
      </c>
      <c r="P1559" t="s">
        <v>38</v>
      </c>
      <c r="Q1559" s="1">
        <v>0</v>
      </c>
      <c r="R1559" t="s">
        <v>1272</v>
      </c>
      <c r="S1559" t="str">
        <f t="shared" si="11"/>
        <v>ko hợp</v>
      </c>
    </row>
    <row r="1560" spans="1:19" hidden="1" x14ac:dyDescent="0.3">
      <c r="A1560" t="s">
        <v>1222</v>
      </c>
      <c r="B1560" t="s">
        <v>1223</v>
      </c>
      <c r="C1560" t="s">
        <v>1224</v>
      </c>
      <c r="D1560">
        <v>4828</v>
      </c>
      <c r="E1560" t="s">
        <v>54</v>
      </c>
      <c r="F1560" t="s">
        <v>55</v>
      </c>
      <c r="G1560" t="s">
        <v>56</v>
      </c>
      <c r="H1560" t="s">
        <v>57</v>
      </c>
      <c r="I1560" t="s">
        <v>25</v>
      </c>
      <c r="J1560">
        <v>546</v>
      </c>
      <c r="K1560" t="s">
        <v>58</v>
      </c>
      <c r="L1560">
        <v>9</v>
      </c>
      <c r="M1560">
        <v>7.4268999999999998</v>
      </c>
      <c r="P1560" t="s">
        <v>33</v>
      </c>
      <c r="Q1560" s="1">
        <v>0</v>
      </c>
      <c r="R1560" t="s">
        <v>1272</v>
      </c>
      <c r="S1560" t="str">
        <f t="shared" si="11"/>
        <v>ko hợp</v>
      </c>
    </row>
    <row r="1561" spans="1:19" hidden="1" x14ac:dyDescent="0.3">
      <c r="A1561" t="s">
        <v>1222</v>
      </c>
      <c r="B1561" t="s">
        <v>1223</v>
      </c>
      <c r="C1561" t="s">
        <v>1224</v>
      </c>
      <c r="D1561">
        <v>20259</v>
      </c>
      <c r="E1561" t="s">
        <v>49</v>
      </c>
      <c r="F1561" t="s">
        <v>50</v>
      </c>
      <c r="G1561" t="s">
        <v>51</v>
      </c>
      <c r="H1561" t="s">
        <v>52</v>
      </c>
      <c r="I1561" t="s">
        <v>25</v>
      </c>
      <c r="J1561">
        <v>313</v>
      </c>
      <c r="K1561" t="s">
        <v>53</v>
      </c>
      <c r="N1561">
        <v>9</v>
      </c>
      <c r="O1561">
        <v>0.38340000000000002</v>
      </c>
      <c r="P1561" t="s">
        <v>38</v>
      </c>
      <c r="Q1561" s="1">
        <v>2</v>
      </c>
      <c r="R1561" t="s">
        <v>1272</v>
      </c>
      <c r="S1561" t="str">
        <f t="shared" si="11"/>
        <v>ok</v>
      </c>
    </row>
    <row r="1562" spans="1:19" hidden="1" x14ac:dyDescent="0.3">
      <c r="A1562" t="s">
        <v>1222</v>
      </c>
      <c r="B1562" t="s">
        <v>1223</v>
      </c>
      <c r="C1562" t="s">
        <v>1224</v>
      </c>
      <c r="D1562">
        <v>13481</v>
      </c>
      <c r="E1562" t="s">
        <v>270</v>
      </c>
      <c r="F1562" t="s">
        <v>55</v>
      </c>
      <c r="G1562" t="s">
        <v>271</v>
      </c>
      <c r="H1562" t="s">
        <v>272</v>
      </c>
      <c r="I1562" t="s">
        <v>31</v>
      </c>
      <c r="J1562">
        <v>690</v>
      </c>
      <c r="K1562" t="s">
        <v>273</v>
      </c>
      <c r="N1562">
        <v>10</v>
      </c>
      <c r="O1562">
        <v>0.38179999999999997</v>
      </c>
      <c r="P1562" t="s">
        <v>38</v>
      </c>
      <c r="Q1562" s="1">
        <v>1</v>
      </c>
      <c r="R1562" t="s">
        <v>1272</v>
      </c>
      <c r="S1562" t="str">
        <f t="shared" si="11"/>
        <v>Phù hợp 1 phần</v>
      </c>
    </row>
    <row r="1563" spans="1:19" hidden="1" x14ac:dyDescent="0.3">
      <c r="A1563" t="s">
        <v>1222</v>
      </c>
      <c r="B1563" t="s">
        <v>1223</v>
      </c>
      <c r="C1563" t="s">
        <v>1224</v>
      </c>
      <c r="D1563">
        <v>20034</v>
      </c>
      <c r="E1563" t="s">
        <v>945</v>
      </c>
      <c r="F1563" t="s">
        <v>22</v>
      </c>
      <c r="G1563" t="s">
        <v>946</v>
      </c>
      <c r="H1563" t="s">
        <v>947</v>
      </c>
      <c r="I1563" t="s">
        <v>31</v>
      </c>
      <c r="J1563">
        <v>191</v>
      </c>
      <c r="K1563" t="s">
        <v>948</v>
      </c>
      <c r="L1563">
        <v>10</v>
      </c>
      <c r="M1563">
        <v>6.9625000000000004</v>
      </c>
      <c r="P1563" t="s">
        <v>33</v>
      </c>
      <c r="Q1563" s="1">
        <v>2</v>
      </c>
      <c r="R1563" t="s">
        <v>1272</v>
      </c>
      <c r="S1563" t="str">
        <f t="shared" si="11"/>
        <v>ok</v>
      </c>
    </row>
    <row r="1564" spans="1:19" hidden="1" x14ac:dyDescent="0.3">
      <c r="A1564" t="s">
        <v>1229</v>
      </c>
      <c r="B1564" t="s">
        <v>1230</v>
      </c>
      <c r="C1564" t="s">
        <v>1224</v>
      </c>
      <c r="D1564">
        <v>19019</v>
      </c>
      <c r="E1564" t="s">
        <v>296</v>
      </c>
      <c r="F1564" t="s">
        <v>297</v>
      </c>
      <c r="G1564" t="s">
        <v>298</v>
      </c>
      <c r="H1564" t="s">
        <v>299</v>
      </c>
      <c r="I1564" t="s">
        <v>25</v>
      </c>
      <c r="J1564">
        <v>999</v>
      </c>
      <c r="K1564" t="s">
        <v>300</v>
      </c>
      <c r="L1564">
        <v>1</v>
      </c>
      <c r="M1564">
        <v>16.39</v>
      </c>
      <c r="N1564">
        <v>1</v>
      </c>
      <c r="O1564">
        <v>0.42449999999999999</v>
      </c>
      <c r="P1564" t="s">
        <v>27</v>
      </c>
      <c r="Q1564" s="1">
        <v>0</v>
      </c>
      <c r="R1564" t="s">
        <v>1272</v>
      </c>
      <c r="S1564" t="str">
        <f t="shared" si="11"/>
        <v>ko hợp</v>
      </c>
    </row>
    <row r="1565" spans="1:19" hidden="1" x14ac:dyDescent="0.3">
      <c r="A1565" t="s">
        <v>1229</v>
      </c>
      <c r="B1565" t="s">
        <v>1230</v>
      </c>
      <c r="C1565" t="s">
        <v>1224</v>
      </c>
      <c r="D1565">
        <v>2385</v>
      </c>
      <c r="E1565" t="s">
        <v>284</v>
      </c>
      <c r="F1565" t="s">
        <v>60</v>
      </c>
      <c r="G1565" t="s">
        <v>41</v>
      </c>
      <c r="H1565" t="s">
        <v>285</v>
      </c>
      <c r="I1565" t="s">
        <v>25</v>
      </c>
      <c r="J1565">
        <v>1160</v>
      </c>
      <c r="K1565" t="s">
        <v>286</v>
      </c>
      <c r="L1565">
        <v>3</v>
      </c>
      <c r="M1565">
        <v>13.1805</v>
      </c>
      <c r="N1565">
        <v>2</v>
      </c>
      <c r="O1565">
        <v>0.4244</v>
      </c>
      <c r="P1565" t="s">
        <v>27</v>
      </c>
      <c r="Q1565" s="1">
        <v>0</v>
      </c>
      <c r="R1565" t="s">
        <v>1272</v>
      </c>
      <c r="S1565" t="str">
        <f t="shared" si="11"/>
        <v>ko hợp</v>
      </c>
    </row>
    <row r="1566" spans="1:19" hidden="1" x14ac:dyDescent="0.3">
      <c r="A1566" t="s">
        <v>1229</v>
      </c>
      <c r="B1566" t="s">
        <v>1230</v>
      </c>
      <c r="C1566" t="s">
        <v>1224</v>
      </c>
      <c r="D1566">
        <v>19735</v>
      </c>
      <c r="E1566" t="s">
        <v>827</v>
      </c>
      <c r="F1566" t="s">
        <v>828</v>
      </c>
      <c r="G1566" t="s">
        <v>829</v>
      </c>
      <c r="H1566" t="s">
        <v>830</v>
      </c>
      <c r="I1566" t="s">
        <v>25</v>
      </c>
      <c r="J1566">
        <v>559</v>
      </c>
      <c r="K1566" t="s">
        <v>831</v>
      </c>
      <c r="L1566">
        <v>2</v>
      </c>
      <c r="M1566">
        <v>13.3104</v>
      </c>
      <c r="P1566" t="s">
        <v>33</v>
      </c>
      <c r="Q1566" s="1">
        <v>0</v>
      </c>
      <c r="R1566" t="s">
        <v>1272</v>
      </c>
      <c r="S1566" t="str">
        <f t="shared" si="11"/>
        <v>ko hợp</v>
      </c>
    </row>
    <row r="1567" spans="1:19" hidden="1" x14ac:dyDescent="0.3">
      <c r="A1567" t="s">
        <v>1229</v>
      </c>
      <c r="B1567" t="s">
        <v>1230</v>
      </c>
      <c r="C1567" t="s">
        <v>1224</v>
      </c>
      <c r="D1567">
        <v>19312</v>
      </c>
      <c r="E1567" t="s">
        <v>321</v>
      </c>
      <c r="F1567" t="s">
        <v>322</v>
      </c>
      <c r="G1567" t="s">
        <v>323</v>
      </c>
      <c r="H1567" t="s">
        <v>324</v>
      </c>
      <c r="I1567" t="s">
        <v>31</v>
      </c>
      <c r="J1567">
        <v>2453</v>
      </c>
      <c r="K1567" t="s">
        <v>325</v>
      </c>
      <c r="L1567">
        <v>8</v>
      </c>
      <c r="M1567">
        <v>10.5329</v>
      </c>
      <c r="N1567">
        <v>3</v>
      </c>
      <c r="O1567">
        <v>0.42359999999999998</v>
      </c>
      <c r="P1567" t="s">
        <v>27</v>
      </c>
      <c r="Q1567" s="1">
        <v>0</v>
      </c>
      <c r="R1567" t="s">
        <v>1272</v>
      </c>
      <c r="S1567" t="str">
        <f t="shared" si="11"/>
        <v>ko hợp</v>
      </c>
    </row>
    <row r="1568" spans="1:19" hidden="1" x14ac:dyDescent="0.3">
      <c r="A1568" t="s">
        <v>1229</v>
      </c>
      <c r="B1568" t="s">
        <v>1230</v>
      </c>
      <c r="C1568" t="s">
        <v>1224</v>
      </c>
      <c r="D1568">
        <v>14714</v>
      </c>
      <c r="E1568" t="s">
        <v>381</v>
      </c>
      <c r="F1568" t="s">
        <v>230</v>
      </c>
      <c r="G1568" t="s">
        <v>382</v>
      </c>
      <c r="H1568" t="s">
        <v>383</v>
      </c>
      <c r="I1568" t="s">
        <v>25</v>
      </c>
      <c r="J1568">
        <v>340</v>
      </c>
      <c r="K1568" t="s">
        <v>384</v>
      </c>
      <c r="N1568">
        <v>4</v>
      </c>
      <c r="O1568">
        <v>0.42159999999999997</v>
      </c>
      <c r="P1568" t="s">
        <v>38</v>
      </c>
      <c r="Q1568" s="1">
        <v>0</v>
      </c>
      <c r="R1568" t="s">
        <v>1272</v>
      </c>
      <c r="S1568" t="str">
        <f t="shared" si="11"/>
        <v>ko hợp</v>
      </c>
    </row>
    <row r="1569" spans="1:19" hidden="1" x14ac:dyDescent="0.3">
      <c r="A1569" t="s">
        <v>1229</v>
      </c>
      <c r="B1569" t="s">
        <v>1230</v>
      </c>
      <c r="C1569" t="s">
        <v>1224</v>
      </c>
      <c r="D1569">
        <v>20772</v>
      </c>
      <c r="E1569" t="s">
        <v>292</v>
      </c>
      <c r="F1569" t="s">
        <v>293</v>
      </c>
      <c r="G1569" t="s">
        <v>41</v>
      </c>
      <c r="H1569" t="s">
        <v>294</v>
      </c>
      <c r="I1569" t="s">
        <v>25</v>
      </c>
      <c r="J1569">
        <v>787</v>
      </c>
      <c r="K1569" t="s">
        <v>295</v>
      </c>
      <c r="L1569">
        <v>4</v>
      </c>
      <c r="M1569">
        <v>11.4489</v>
      </c>
      <c r="P1569" t="s">
        <v>33</v>
      </c>
      <c r="Q1569" s="1">
        <v>0</v>
      </c>
      <c r="R1569" t="s">
        <v>1272</v>
      </c>
      <c r="S1569" t="str">
        <f t="shared" si="11"/>
        <v>ko hợp</v>
      </c>
    </row>
    <row r="1570" spans="1:19" hidden="1" x14ac:dyDescent="0.3">
      <c r="A1570" t="s">
        <v>1229</v>
      </c>
      <c r="B1570" t="s">
        <v>1230</v>
      </c>
      <c r="C1570" t="s">
        <v>1224</v>
      </c>
      <c r="D1570">
        <v>18959</v>
      </c>
      <c r="E1570" t="s">
        <v>1073</v>
      </c>
      <c r="F1570" t="s">
        <v>293</v>
      </c>
      <c r="G1570" t="s">
        <v>1074</v>
      </c>
      <c r="H1570" t="s">
        <v>1075</v>
      </c>
      <c r="I1570" t="s">
        <v>31</v>
      </c>
      <c r="J1570">
        <v>498</v>
      </c>
      <c r="K1570" t="s">
        <v>1076</v>
      </c>
      <c r="L1570">
        <v>5</v>
      </c>
      <c r="M1570">
        <v>10.741899999999999</v>
      </c>
      <c r="P1570" t="s">
        <v>33</v>
      </c>
      <c r="Q1570" s="1">
        <v>0</v>
      </c>
      <c r="R1570" t="s">
        <v>1272</v>
      </c>
      <c r="S1570" t="str">
        <f t="shared" si="11"/>
        <v>ko hợp</v>
      </c>
    </row>
    <row r="1571" spans="1:19" hidden="1" x14ac:dyDescent="0.3">
      <c r="A1571" t="s">
        <v>1229</v>
      </c>
      <c r="B1571" t="s">
        <v>1230</v>
      </c>
      <c r="C1571" t="s">
        <v>1224</v>
      </c>
      <c r="D1571">
        <v>19400</v>
      </c>
      <c r="E1571" t="s">
        <v>805</v>
      </c>
      <c r="F1571" t="s">
        <v>60</v>
      </c>
      <c r="G1571" t="s">
        <v>806</v>
      </c>
      <c r="H1571" t="s">
        <v>807</v>
      </c>
      <c r="I1571" t="s">
        <v>31</v>
      </c>
      <c r="J1571">
        <v>534</v>
      </c>
      <c r="K1571" t="s">
        <v>808</v>
      </c>
      <c r="N1571">
        <v>5</v>
      </c>
      <c r="O1571">
        <v>0.41520000000000001</v>
      </c>
      <c r="P1571" t="s">
        <v>38</v>
      </c>
      <c r="Q1571" s="1">
        <v>0</v>
      </c>
      <c r="R1571" t="s">
        <v>1272</v>
      </c>
      <c r="S1571" t="str">
        <f t="shared" si="11"/>
        <v>ko hợp</v>
      </c>
    </row>
    <row r="1572" spans="1:19" hidden="1" x14ac:dyDescent="0.3">
      <c r="A1572" t="s">
        <v>1229</v>
      </c>
      <c r="B1572" t="s">
        <v>1230</v>
      </c>
      <c r="C1572" t="s">
        <v>1224</v>
      </c>
      <c r="D1572">
        <v>13817</v>
      </c>
      <c r="E1572" t="s">
        <v>1153</v>
      </c>
      <c r="F1572" t="s">
        <v>22</v>
      </c>
      <c r="G1572" t="s">
        <v>1154</v>
      </c>
      <c r="H1572" t="s">
        <v>1155</v>
      </c>
      <c r="I1572" t="s">
        <v>31</v>
      </c>
      <c r="J1572">
        <v>1533</v>
      </c>
      <c r="K1572" t="s">
        <v>1156</v>
      </c>
      <c r="L1572">
        <v>6</v>
      </c>
      <c r="M1572">
        <v>10.7171</v>
      </c>
      <c r="P1572" t="s">
        <v>33</v>
      </c>
      <c r="Q1572" s="1">
        <v>0</v>
      </c>
      <c r="R1572" t="s">
        <v>1272</v>
      </c>
      <c r="S1572" t="str">
        <f t="shared" si="11"/>
        <v>ko hợp</v>
      </c>
    </row>
    <row r="1573" spans="1:19" hidden="1" x14ac:dyDescent="0.3">
      <c r="A1573" t="s">
        <v>1229</v>
      </c>
      <c r="B1573" t="s">
        <v>1230</v>
      </c>
      <c r="C1573" t="s">
        <v>1224</v>
      </c>
      <c r="D1573">
        <v>18831</v>
      </c>
      <c r="E1573" t="s">
        <v>841</v>
      </c>
      <c r="F1573" t="s">
        <v>842</v>
      </c>
      <c r="G1573" t="s">
        <v>41</v>
      </c>
      <c r="H1573" t="s">
        <v>843</v>
      </c>
      <c r="I1573" t="s">
        <v>31</v>
      </c>
      <c r="J1573">
        <v>565</v>
      </c>
      <c r="K1573" t="s">
        <v>844</v>
      </c>
      <c r="N1573">
        <v>6</v>
      </c>
      <c r="O1573">
        <v>0.41089999999999999</v>
      </c>
      <c r="P1573" t="s">
        <v>38</v>
      </c>
      <c r="Q1573" s="1">
        <v>0</v>
      </c>
      <c r="R1573" t="s">
        <v>1272</v>
      </c>
      <c r="S1573" t="str">
        <f t="shared" si="11"/>
        <v>ko hợp</v>
      </c>
    </row>
    <row r="1574" spans="1:19" hidden="1" x14ac:dyDescent="0.3">
      <c r="A1574" t="s">
        <v>1229</v>
      </c>
      <c r="B1574" t="s">
        <v>1230</v>
      </c>
      <c r="C1574" t="s">
        <v>1224</v>
      </c>
      <c r="D1574">
        <v>13561</v>
      </c>
      <c r="E1574" t="s">
        <v>832</v>
      </c>
      <c r="F1574" t="s">
        <v>60</v>
      </c>
      <c r="G1574" t="s">
        <v>833</v>
      </c>
      <c r="H1574" t="s">
        <v>834</v>
      </c>
      <c r="I1574" t="s">
        <v>31</v>
      </c>
      <c r="J1574">
        <v>498</v>
      </c>
      <c r="K1574" t="s">
        <v>835</v>
      </c>
      <c r="N1574">
        <v>7</v>
      </c>
      <c r="O1574">
        <v>0.41049999999999998</v>
      </c>
      <c r="P1574" t="s">
        <v>38</v>
      </c>
      <c r="Q1574" s="1">
        <v>2</v>
      </c>
      <c r="R1574" t="s">
        <v>1272</v>
      </c>
      <c r="S1574" t="str">
        <f t="shared" si="11"/>
        <v>ok</v>
      </c>
    </row>
    <row r="1575" spans="1:19" hidden="1" x14ac:dyDescent="0.3">
      <c r="A1575" t="s">
        <v>1229</v>
      </c>
      <c r="B1575" t="s">
        <v>1230</v>
      </c>
      <c r="C1575" t="s">
        <v>1224</v>
      </c>
      <c r="D1575">
        <v>18746</v>
      </c>
      <c r="E1575" t="s">
        <v>253</v>
      </c>
      <c r="F1575" t="s">
        <v>254</v>
      </c>
      <c r="G1575" t="s">
        <v>255</v>
      </c>
      <c r="H1575" t="s">
        <v>256</v>
      </c>
      <c r="I1575" t="s">
        <v>25</v>
      </c>
      <c r="J1575">
        <v>1493</v>
      </c>
      <c r="K1575" t="s">
        <v>257</v>
      </c>
      <c r="L1575">
        <v>7</v>
      </c>
      <c r="M1575">
        <v>10.673400000000001</v>
      </c>
      <c r="P1575" t="s">
        <v>33</v>
      </c>
      <c r="Q1575" s="1">
        <v>0</v>
      </c>
      <c r="R1575" t="s">
        <v>1272</v>
      </c>
      <c r="S1575" t="str">
        <f t="shared" si="11"/>
        <v>ko hợp</v>
      </c>
    </row>
    <row r="1576" spans="1:19" hidden="1" x14ac:dyDescent="0.3">
      <c r="A1576" t="s">
        <v>1229</v>
      </c>
      <c r="B1576" t="s">
        <v>1230</v>
      </c>
      <c r="C1576" t="s">
        <v>1224</v>
      </c>
      <c r="D1576">
        <v>9820</v>
      </c>
      <c r="E1576" t="s">
        <v>150</v>
      </c>
      <c r="F1576" t="s">
        <v>60</v>
      </c>
      <c r="G1576" t="s">
        <v>151</v>
      </c>
      <c r="H1576" t="s">
        <v>152</v>
      </c>
      <c r="I1576" t="s">
        <v>25</v>
      </c>
      <c r="J1576">
        <v>2512</v>
      </c>
      <c r="K1576" t="s">
        <v>153</v>
      </c>
      <c r="N1576">
        <v>8</v>
      </c>
      <c r="O1576">
        <v>0.40839999999999999</v>
      </c>
      <c r="P1576" t="s">
        <v>38</v>
      </c>
      <c r="Q1576" s="1">
        <v>0</v>
      </c>
      <c r="R1576" t="s">
        <v>1272</v>
      </c>
      <c r="S1576" t="str">
        <f t="shared" si="11"/>
        <v>ko hợp</v>
      </c>
    </row>
    <row r="1577" spans="1:19" hidden="1" x14ac:dyDescent="0.3">
      <c r="A1577" t="s">
        <v>1229</v>
      </c>
      <c r="B1577" t="s">
        <v>1230</v>
      </c>
      <c r="C1577" t="s">
        <v>1224</v>
      </c>
      <c r="D1577">
        <v>171</v>
      </c>
      <c r="E1577" t="s">
        <v>102</v>
      </c>
      <c r="F1577" t="s">
        <v>103</v>
      </c>
      <c r="G1577" t="s">
        <v>104</v>
      </c>
      <c r="H1577" t="s">
        <v>105</v>
      </c>
      <c r="I1577" t="s">
        <v>31</v>
      </c>
      <c r="J1577">
        <v>474</v>
      </c>
      <c r="K1577" t="s">
        <v>106</v>
      </c>
      <c r="N1577">
        <v>9</v>
      </c>
      <c r="O1577">
        <v>0.4083</v>
      </c>
      <c r="P1577" t="s">
        <v>38</v>
      </c>
      <c r="Q1577" s="1">
        <v>0</v>
      </c>
      <c r="R1577" t="s">
        <v>1272</v>
      </c>
      <c r="S1577" t="str">
        <f t="shared" si="11"/>
        <v>ko hợp</v>
      </c>
    </row>
    <row r="1578" spans="1:19" hidden="1" x14ac:dyDescent="0.3">
      <c r="A1578" t="s">
        <v>1229</v>
      </c>
      <c r="B1578" t="s">
        <v>1230</v>
      </c>
      <c r="C1578" t="s">
        <v>1224</v>
      </c>
      <c r="D1578">
        <v>447</v>
      </c>
      <c r="E1578" t="s">
        <v>813</v>
      </c>
      <c r="F1578" t="s">
        <v>22</v>
      </c>
      <c r="G1578" t="s">
        <v>814</v>
      </c>
      <c r="H1578" t="s">
        <v>815</v>
      </c>
      <c r="I1578" t="s">
        <v>25</v>
      </c>
      <c r="J1578">
        <v>806</v>
      </c>
      <c r="K1578" t="s">
        <v>816</v>
      </c>
      <c r="L1578">
        <v>9</v>
      </c>
      <c r="M1578">
        <v>10.337199999999999</v>
      </c>
      <c r="P1578" t="s">
        <v>33</v>
      </c>
      <c r="Q1578" s="1">
        <v>0</v>
      </c>
      <c r="R1578" t="s">
        <v>1272</v>
      </c>
      <c r="S1578" t="str">
        <f t="shared" si="11"/>
        <v>ko hợp</v>
      </c>
    </row>
    <row r="1579" spans="1:19" hidden="1" x14ac:dyDescent="0.3">
      <c r="A1579" t="s">
        <v>1229</v>
      </c>
      <c r="B1579" t="s">
        <v>1230</v>
      </c>
      <c r="C1579" t="s">
        <v>1224</v>
      </c>
      <c r="D1579">
        <v>13237</v>
      </c>
      <c r="E1579" t="s">
        <v>137</v>
      </c>
      <c r="F1579" t="s">
        <v>60</v>
      </c>
      <c r="G1579" t="s">
        <v>138</v>
      </c>
      <c r="H1579" t="s">
        <v>139</v>
      </c>
      <c r="I1579" t="s">
        <v>31</v>
      </c>
      <c r="J1579">
        <v>1213</v>
      </c>
      <c r="K1579" t="s">
        <v>140</v>
      </c>
      <c r="L1579">
        <v>10</v>
      </c>
      <c r="M1579">
        <v>10.3171</v>
      </c>
      <c r="P1579" t="s">
        <v>33</v>
      </c>
      <c r="Q1579" s="1">
        <v>2</v>
      </c>
      <c r="R1579" t="s">
        <v>1272</v>
      </c>
      <c r="S1579" t="str">
        <f t="shared" si="11"/>
        <v>ok</v>
      </c>
    </row>
    <row r="1580" spans="1:19" hidden="1" x14ac:dyDescent="0.3">
      <c r="A1580" t="s">
        <v>1229</v>
      </c>
      <c r="B1580" t="s">
        <v>1230</v>
      </c>
      <c r="C1580" t="s">
        <v>1224</v>
      </c>
      <c r="D1580">
        <v>16145</v>
      </c>
      <c r="E1580" t="s">
        <v>182</v>
      </c>
      <c r="F1580" t="s">
        <v>155</v>
      </c>
      <c r="G1580" t="s">
        <v>183</v>
      </c>
      <c r="H1580" t="s">
        <v>184</v>
      </c>
      <c r="I1580" t="s">
        <v>31</v>
      </c>
      <c r="J1580">
        <v>2447</v>
      </c>
      <c r="K1580" t="s">
        <v>185</v>
      </c>
      <c r="N1580">
        <v>10</v>
      </c>
      <c r="O1580">
        <v>0.40749999999999997</v>
      </c>
      <c r="P1580" t="s">
        <v>38</v>
      </c>
      <c r="Q1580" s="1">
        <v>0</v>
      </c>
      <c r="R1580" t="s">
        <v>1272</v>
      </c>
      <c r="S1580" t="str">
        <f t="shared" si="11"/>
        <v>ko hợp</v>
      </c>
    </row>
    <row r="1581" spans="1:19" hidden="1" x14ac:dyDescent="0.3">
      <c r="A1581" t="s">
        <v>1231</v>
      </c>
      <c r="B1581" t="s">
        <v>1232</v>
      </c>
      <c r="C1581" t="s">
        <v>1224</v>
      </c>
      <c r="D1581">
        <v>3280</v>
      </c>
      <c r="E1581" t="s">
        <v>178</v>
      </c>
      <c r="F1581" t="s">
        <v>155</v>
      </c>
      <c r="G1581" t="s">
        <v>179</v>
      </c>
      <c r="H1581" t="s">
        <v>180</v>
      </c>
      <c r="I1581" t="s">
        <v>25</v>
      </c>
      <c r="J1581">
        <v>927</v>
      </c>
      <c r="K1581" t="s">
        <v>181</v>
      </c>
      <c r="N1581">
        <v>1</v>
      </c>
      <c r="O1581">
        <v>0.42320000000000002</v>
      </c>
      <c r="P1581" t="s">
        <v>38</v>
      </c>
      <c r="Q1581" s="1">
        <v>1</v>
      </c>
      <c r="R1581" t="s">
        <v>1272</v>
      </c>
      <c r="S1581" t="str">
        <f t="shared" si="11"/>
        <v>Phù hợp 1 phần</v>
      </c>
    </row>
    <row r="1582" spans="1:19" hidden="1" x14ac:dyDescent="0.3">
      <c r="A1582" t="s">
        <v>1231</v>
      </c>
      <c r="B1582" t="s">
        <v>1232</v>
      </c>
      <c r="C1582" t="s">
        <v>1224</v>
      </c>
      <c r="D1582">
        <v>19710</v>
      </c>
      <c r="E1582" t="s">
        <v>199</v>
      </c>
      <c r="F1582" t="s">
        <v>200</v>
      </c>
      <c r="G1582" t="s">
        <v>201</v>
      </c>
      <c r="H1582" t="s">
        <v>202</v>
      </c>
      <c r="I1582" t="s">
        <v>31</v>
      </c>
      <c r="J1582">
        <v>262</v>
      </c>
      <c r="K1582" t="s">
        <v>203</v>
      </c>
      <c r="L1582">
        <v>1</v>
      </c>
      <c r="M1582">
        <v>20.3049</v>
      </c>
      <c r="N1582">
        <v>2</v>
      </c>
      <c r="O1582">
        <v>0.42159999999999997</v>
      </c>
      <c r="P1582" t="s">
        <v>27</v>
      </c>
      <c r="Q1582" s="1">
        <v>1</v>
      </c>
      <c r="R1582" t="s">
        <v>1272</v>
      </c>
      <c r="S1582" t="str">
        <f t="shared" si="11"/>
        <v>Phù hợp 1 phần</v>
      </c>
    </row>
    <row r="1583" spans="1:19" hidden="1" x14ac:dyDescent="0.3">
      <c r="A1583" t="s">
        <v>1231</v>
      </c>
      <c r="B1583" t="s">
        <v>1232</v>
      </c>
      <c r="C1583" t="s">
        <v>1224</v>
      </c>
      <c r="D1583">
        <v>20185</v>
      </c>
      <c r="E1583" t="s">
        <v>885</v>
      </c>
      <c r="F1583" t="s">
        <v>842</v>
      </c>
      <c r="G1583" t="s">
        <v>886</v>
      </c>
      <c r="H1583" t="s">
        <v>887</v>
      </c>
      <c r="I1583" t="s">
        <v>31</v>
      </c>
      <c r="J1583">
        <v>674</v>
      </c>
      <c r="K1583" t="s">
        <v>888</v>
      </c>
      <c r="L1583">
        <v>2</v>
      </c>
      <c r="M1583">
        <v>18.132899999999999</v>
      </c>
      <c r="P1583" t="s">
        <v>33</v>
      </c>
      <c r="Q1583" s="1">
        <v>0</v>
      </c>
      <c r="R1583" t="s">
        <v>1272</v>
      </c>
      <c r="S1583" t="str">
        <f t="shared" si="11"/>
        <v>ko hợp</v>
      </c>
    </row>
    <row r="1584" spans="1:19" hidden="1" x14ac:dyDescent="0.3">
      <c r="A1584" t="s">
        <v>1231</v>
      </c>
      <c r="B1584" t="s">
        <v>1232</v>
      </c>
      <c r="C1584" t="s">
        <v>1224</v>
      </c>
      <c r="D1584">
        <v>20595</v>
      </c>
      <c r="E1584" t="s">
        <v>190</v>
      </c>
      <c r="F1584" t="s">
        <v>191</v>
      </c>
      <c r="G1584" t="s">
        <v>192</v>
      </c>
      <c r="H1584" t="s">
        <v>193</v>
      </c>
      <c r="I1584" t="s">
        <v>25</v>
      </c>
      <c r="J1584">
        <v>2941</v>
      </c>
      <c r="K1584" t="s">
        <v>194</v>
      </c>
      <c r="N1584">
        <v>3</v>
      </c>
      <c r="O1584">
        <v>0.41489999999999999</v>
      </c>
      <c r="P1584" t="s">
        <v>38</v>
      </c>
      <c r="Q1584" s="1">
        <v>2</v>
      </c>
      <c r="R1584" t="s">
        <v>1272</v>
      </c>
      <c r="S1584" t="str">
        <f t="shared" si="11"/>
        <v>ok</v>
      </c>
    </row>
    <row r="1585" spans="1:19" hidden="1" x14ac:dyDescent="0.3">
      <c r="A1585" t="s">
        <v>1231</v>
      </c>
      <c r="B1585" t="s">
        <v>1232</v>
      </c>
      <c r="C1585" t="s">
        <v>1224</v>
      </c>
      <c r="D1585">
        <v>20632</v>
      </c>
      <c r="E1585" t="s">
        <v>204</v>
      </c>
      <c r="F1585" t="s">
        <v>205</v>
      </c>
      <c r="G1585" t="s">
        <v>206</v>
      </c>
      <c r="H1585" t="s">
        <v>207</v>
      </c>
      <c r="I1585" t="s">
        <v>31</v>
      </c>
      <c r="J1585">
        <v>411</v>
      </c>
      <c r="K1585" t="s">
        <v>208</v>
      </c>
      <c r="L1585">
        <v>3</v>
      </c>
      <c r="M1585">
        <v>17.109000000000002</v>
      </c>
      <c r="P1585" t="s">
        <v>33</v>
      </c>
      <c r="Q1585" s="1">
        <v>1</v>
      </c>
      <c r="R1585" t="s">
        <v>1272</v>
      </c>
      <c r="S1585" t="str">
        <f t="shared" si="11"/>
        <v>Phù hợp 1 phần</v>
      </c>
    </row>
    <row r="1586" spans="1:19" hidden="1" x14ac:dyDescent="0.3">
      <c r="A1586" t="s">
        <v>1231</v>
      </c>
      <c r="B1586" t="s">
        <v>1232</v>
      </c>
      <c r="C1586" t="s">
        <v>1224</v>
      </c>
      <c r="D1586">
        <v>15839</v>
      </c>
      <c r="E1586" t="s">
        <v>154</v>
      </c>
      <c r="F1586" t="s">
        <v>155</v>
      </c>
      <c r="G1586" t="s">
        <v>156</v>
      </c>
      <c r="H1586" t="s">
        <v>157</v>
      </c>
      <c r="I1586" t="s">
        <v>25</v>
      </c>
      <c r="J1586">
        <v>298</v>
      </c>
      <c r="K1586" t="s">
        <v>158</v>
      </c>
      <c r="L1586">
        <v>4</v>
      </c>
      <c r="M1586">
        <v>16.701699999999999</v>
      </c>
      <c r="P1586" t="s">
        <v>33</v>
      </c>
      <c r="Q1586" s="1">
        <v>1</v>
      </c>
      <c r="R1586" t="s">
        <v>1272</v>
      </c>
      <c r="S1586" t="str">
        <f t="shared" si="11"/>
        <v>Phù hợp 1 phần</v>
      </c>
    </row>
    <row r="1587" spans="1:19" hidden="1" x14ac:dyDescent="0.3">
      <c r="A1587" t="s">
        <v>1231</v>
      </c>
      <c r="B1587" t="s">
        <v>1232</v>
      </c>
      <c r="C1587" t="s">
        <v>1224</v>
      </c>
      <c r="D1587">
        <v>20777</v>
      </c>
      <c r="E1587" t="s">
        <v>174</v>
      </c>
      <c r="F1587" t="s">
        <v>155</v>
      </c>
      <c r="G1587" t="s">
        <v>175</v>
      </c>
      <c r="H1587" t="s">
        <v>176</v>
      </c>
      <c r="I1587" t="s">
        <v>31</v>
      </c>
      <c r="J1587">
        <v>384</v>
      </c>
      <c r="K1587" t="s">
        <v>177</v>
      </c>
      <c r="N1587">
        <v>4</v>
      </c>
      <c r="O1587">
        <v>0.41120000000000001</v>
      </c>
      <c r="P1587" t="s">
        <v>38</v>
      </c>
      <c r="Q1587" s="1">
        <v>1</v>
      </c>
      <c r="R1587" t="s">
        <v>1272</v>
      </c>
      <c r="S1587" t="str">
        <f t="shared" si="11"/>
        <v>Phù hợp 1 phần</v>
      </c>
    </row>
    <row r="1588" spans="1:19" hidden="1" x14ac:dyDescent="0.3">
      <c r="A1588" t="s">
        <v>1231</v>
      </c>
      <c r="B1588" t="s">
        <v>1232</v>
      </c>
      <c r="C1588" t="s">
        <v>1224</v>
      </c>
      <c r="D1588">
        <v>6628</v>
      </c>
      <c r="E1588" t="s">
        <v>1233</v>
      </c>
      <c r="F1588" t="s">
        <v>155</v>
      </c>
      <c r="G1588" t="s">
        <v>1234</v>
      </c>
      <c r="H1588" t="s">
        <v>1235</v>
      </c>
      <c r="I1588" t="s">
        <v>25</v>
      </c>
      <c r="J1588">
        <v>754</v>
      </c>
      <c r="K1588" t="s">
        <v>1236</v>
      </c>
      <c r="L1588">
        <v>5</v>
      </c>
      <c r="M1588">
        <v>16.406300000000002</v>
      </c>
      <c r="P1588" t="s">
        <v>33</v>
      </c>
      <c r="Q1588" s="1">
        <v>1</v>
      </c>
      <c r="R1588" t="s">
        <v>1272</v>
      </c>
      <c r="S1588" t="str">
        <f t="shared" si="11"/>
        <v>Phù hợp 1 phần</v>
      </c>
    </row>
    <row r="1589" spans="1:19" hidden="1" x14ac:dyDescent="0.3">
      <c r="A1589" t="s">
        <v>1231</v>
      </c>
      <c r="B1589" t="s">
        <v>1232</v>
      </c>
      <c r="C1589" t="s">
        <v>1224</v>
      </c>
      <c r="D1589">
        <v>16145</v>
      </c>
      <c r="E1589" t="s">
        <v>182</v>
      </c>
      <c r="F1589" t="s">
        <v>155</v>
      </c>
      <c r="G1589" t="s">
        <v>183</v>
      </c>
      <c r="H1589" t="s">
        <v>184</v>
      </c>
      <c r="I1589" t="s">
        <v>31</v>
      </c>
      <c r="J1589">
        <v>2447</v>
      </c>
      <c r="K1589" t="s">
        <v>185</v>
      </c>
      <c r="N1589">
        <v>5</v>
      </c>
      <c r="O1589">
        <v>0.39950000000000002</v>
      </c>
      <c r="P1589" t="s">
        <v>38</v>
      </c>
      <c r="Q1589" s="1">
        <v>1</v>
      </c>
      <c r="R1589" t="s">
        <v>1272</v>
      </c>
      <c r="S1589" t="str">
        <f t="shared" si="11"/>
        <v>Phù hợp 1 phần</v>
      </c>
    </row>
    <row r="1590" spans="1:19" hidden="1" x14ac:dyDescent="0.3">
      <c r="A1590" t="s">
        <v>1231</v>
      </c>
      <c r="B1590" t="s">
        <v>1232</v>
      </c>
      <c r="C1590" t="s">
        <v>1224</v>
      </c>
      <c r="D1590">
        <v>541</v>
      </c>
      <c r="E1590" t="s">
        <v>170</v>
      </c>
      <c r="F1590" t="s">
        <v>155</v>
      </c>
      <c r="G1590" t="s">
        <v>171</v>
      </c>
      <c r="H1590" t="s">
        <v>172</v>
      </c>
      <c r="I1590" t="s">
        <v>25</v>
      </c>
      <c r="J1590">
        <v>738</v>
      </c>
      <c r="K1590" t="s">
        <v>173</v>
      </c>
      <c r="L1590">
        <v>6</v>
      </c>
      <c r="M1590">
        <v>15.086</v>
      </c>
      <c r="P1590" t="s">
        <v>33</v>
      </c>
      <c r="Q1590" s="1">
        <v>0</v>
      </c>
      <c r="R1590" t="s">
        <v>1272</v>
      </c>
      <c r="S1590" t="str">
        <f t="shared" si="11"/>
        <v>ko hợp</v>
      </c>
    </row>
    <row r="1591" spans="1:19" hidden="1" x14ac:dyDescent="0.3">
      <c r="A1591" t="s">
        <v>1231</v>
      </c>
      <c r="B1591" t="s">
        <v>1232</v>
      </c>
      <c r="C1591" t="s">
        <v>1224</v>
      </c>
      <c r="D1591">
        <v>20532</v>
      </c>
      <c r="E1591" t="s">
        <v>221</v>
      </c>
      <c r="F1591" t="s">
        <v>222</v>
      </c>
      <c r="G1591" t="s">
        <v>41</v>
      </c>
      <c r="H1591" t="s">
        <v>223</v>
      </c>
      <c r="I1591" t="s">
        <v>25</v>
      </c>
      <c r="J1591">
        <v>1105</v>
      </c>
      <c r="K1591" t="s">
        <v>224</v>
      </c>
      <c r="N1591">
        <v>6</v>
      </c>
      <c r="O1591">
        <v>0.39079999999999998</v>
      </c>
      <c r="P1591" t="s">
        <v>38</v>
      </c>
      <c r="Q1591" s="1">
        <v>0</v>
      </c>
      <c r="R1591" t="s">
        <v>1272</v>
      </c>
      <c r="S1591" t="str">
        <f t="shared" si="11"/>
        <v>ko hợp</v>
      </c>
    </row>
    <row r="1592" spans="1:19" hidden="1" x14ac:dyDescent="0.3">
      <c r="A1592" t="s">
        <v>1231</v>
      </c>
      <c r="B1592" t="s">
        <v>1232</v>
      </c>
      <c r="C1592" t="s">
        <v>1224</v>
      </c>
      <c r="D1592">
        <v>12662</v>
      </c>
      <c r="E1592" t="s">
        <v>313</v>
      </c>
      <c r="F1592" t="s">
        <v>155</v>
      </c>
      <c r="G1592" t="s">
        <v>314</v>
      </c>
      <c r="H1592" t="s">
        <v>315</v>
      </c>
      <c r="I1592" t="s">
        <v>31</v>
      </c>
      <c r="J1592">
        <v>711</v>
      </c>
      <c r="K1592" t="s">
        <v>316</v>
      </c>
      <c r="N1592">
        <v>7</v>
      </c>
      <c r="O1592">
        <v>0.38900000000000001</v>
      </c>
      <c r="P1592" t="s">
        <v>38</v>
      </c>
      <c r="Q1592" s="1">
        <v>0</v>
      </c>
      <c r="R1592" t="s">
        <v>1272</v>
      </c>
      <c r="S1592" t="str">
        <f t="shared" si="11"/>
        <v>ko hợp</v>
      </c>
    </row>
    <row r="1593" spans="1:19" hidden="1" x14ac:dyDescent="0.3">
      <c r="A1593" t="s">
        <v>1231</v>
      </c>
      <c r="B1593" t="s">
        <v>1232</v>
      </c>
      <c r="C1593" t="s">
        <v>1224</v>
      </c>
      <c r="D1593">
        <v>17802</v>
      </c>
      <c r="E1593" t="s">
        <v>1193</v>
      </c>
      <c r="F1593" t="s">
        <v>155</v>
      </c>
      <c r="G1593" t="s">
        <v>994</v>
      </c>
      <c r="H1593" t="s">
        <v>1194</v>
      </c>
      <c r="I1593" t="s">
        <v>31</v>
      </c>
      <c r="J1593">
        <v>436</v>
      </c>
      <c r="K1593" t="s">
        <v>1195</v>
      </c>
      <c r="L1593">
        <v>7</v>
      </c>
      <c r="M1593">
        <v>14.2727</v>
      </c>
      <c r="P1593" t="s">
        <v>33</v>
      </c>
      <c r="Q1593" s="1">
        <v>0</v>
      </c>
      <c r="R1593" t="s">
        <v>1272</v>
      </c>
      <c r="S1593" t="str">
        <f t="shared" si="11"/>
        <v>ko hợp</v>
      </c>
    </row>
    <row r="1594" spans="1:19" hidden="1" x14ac:dyDescent="0.3">
      <c r="A1594" t="s">
        <v>1231</v>
      </c>
      <c r="B1594" t="s">
        <v>1232</v>
      </c>
      <c r="C1594" t="s">
        <v>1224</v>
      </c>
      <c r="D1594">
        <v>10142</v>
      </c>
      <c r="E1594" t="s">
        <v>225</v>
      </c>
      <c r="F1594" t="s">
        <v>155</v>
      </c>
      <c r="G1594" t="s">
        <v>226</v>
      </c>
      <c r="H1594" t="s">
        <v>227</v>
      </c>
      <c r="I1594" t="s">
        <v>25</v>
      </c>
      <c r="J1594">
        <v>2447</v>
      </c>
      <c r="K1594" t="s">
        <v>228</v>
      </c>
      <c r="L1594">
        <v>10</v>
      </c>
      <c r="M1594">
        <v>13.563599999999999</v>
      </c>
      <c r="N1594">
        <v>8</v>
      </c>
      <c r="O1594">
        <v>0.37380000000000002</v>
      </c>
      <c r="P1594" t="s">
        <v>27</v>
      </c>
      <c r="Q1594" s="1">
        <v>1</v>
      </c>
      <c r="R1594" t="s">
        <v>1272</v>
      </c>
      <c r="S1594" t="str">
        <f t="shared" si="11"/>
        <v>Phù hợp 1 phần</v>
      </c>
    </row>
    <row r="1595" spans="1:19" hidden="1" x14ac:dyDescent="0.3">
      <c r="A1595" t="s">
        <v>1231</v>
      </c>
      <c r="B1595" t="s">
        <v>1232</v>
      </c>
      <c r="C1595" t="s">
        <v>1224</v>
      </c>
      <c r="D1595">
        <v>16838</v>
      </c>
      <c r="E1595" t="s">
        <v>129</v>
      </c>
      <c r="F1595" t="s">
        <v>60</v>
      </c>
      <c r="G1595" t="s">
        <v>130</v>
      </c>
      <c r="H1595" t="s">
        <v>131</v>
      </c>
      <c r="I1595" t="s">
        <v>31</v>
      </c>
      <c r="J1595">
        <v>3435</v>
      </c>
      <c r="K1595" t="s">
        <v>132</v>
      </c>
      <c r="L1595">
        <v>8</v>
      </c>
      <c r="M1595">
        <v>14.145200000000001</v>
      </c>
      <c r="P1595" t="s">
        <v>33</v>
      </c>
      <c r="Q1595" s="1">
        <v>2</v>
      </c>
      <c r="R1595" t="s">
        <v>1272</v>
      </c>
      <c r="S1595" t="str">
        <f t="shared" si="11"/>
        <v>ok</v>
      </c>
    </row>
    <row r="1596" spans="1:19" hidden="1" x14ac:dyDescent="0.3">
      <c r="A1596" t="s">
        <v>1231</v>
      </c>
      <c r="B1596" t="s">
        <v>1232</v>
      </c>
      <c r="C1596" t="s">
        <v>1224</v>
      </c>
      <c r="D1596">
        <v>12225</v>
      </c>
      <c r="E1596" t="s">
        <v>908</v>
      </c>
      <c r="F1596" t="s">
        <v>155</v>
      </c>
      <c r="G1596" t="s">
        <v>909</v>
      </c>
      <c r="H1596" t="s">
        <v>910</v>
      </c>
      <c r="I1596" t="s">
        <v>31</v>
      </c>
      <c r="J1596">
        <v>1732</v>
      </c>
      <c r="K1596" t="s">
        <v>911</v>
      </c>
      <c r="N1596">
        <v>9</v>
      </c>
      <c r="O1596">
        <v>0.37369999999999998</v>
      </c>
      <c r="P1596" t="s">
        <v>38</v>
      </c>
      <c r="Q1596" s="1">
        <v>0</v>
      </c>
      <c r="R1596" t="s">
        <v>1272</v>
      </c>
      <c r="S1596" t="str">
        <f t="shared" si="11"/>
        <v>ko hợp</v>
      </c>
    </row>
    <row r="1597" spans="1:19" hidden="1" x14ac:dyDescent="0.3">
      <c r="A1597" t="s">
        <v>1231</v>
      </c>
      <c r="B1597" t="s">
        <v>1232</v>
      </c>
      <c r="C1597" t="s">
        <v>1224</v>
      </c>
      <c r="D1597">
        <v>17650</v>
      </c>
      <c r="E1597" t="s">
        <v>195</v>
      </c>
      <c r="F1597" t="s">
        <v>155</v>
      </c>
      <c r="G1597" t="s">
        <v>196</v>
      </c>
      <c r="H1597" t="s">
        <v>197</v>
      </c>
      <c r="I1597" t="s">
        <v>25</v>
      </c>
      <c r="J1597">
        <v>700</v>
      </c>
      <c r="K1597" t="s">
        <v>198</v>
      </c>
      <c r="L1597">
        <v>9</v>
      </c>
      <c r="M1597">
        <v>13.641299999999999</v>
      </c>
      <c r="P1597" t="s">
        <v>33</v>
      </c>
      <c r="Q1597" s="1">
        <v>0</v>
      </c>
      <c r="R1597" t="s">
        <v>1272</v>
      </c>
      <c r="S1597" t="str">
        <f t="shared" si="11"/>
        <v>ko hợp</v>
      </c>
    </row>
    <row r="1598" spans="1:19" hidden="1" x14ac:dyDescent="0.3">
      <c r="A1598" t="s">
        <v>1231</v>
      </c>
      <c r="B1598" t="s">
        <v>1232</v>
      </c>
      <c r="C1598" t="s">
        <v>1224</v>
      </c>
      <c r="D1598">
        <v>2021</v>
      </c>
      <c r="E1598" t="s">
        <v>582</v>
      </c>
      <c r="F1598" t="s">
        <v>570</v>
      </c>
      <c r="G1598" t="s">
        <v>583</v>
      </c>
      <c r="H1598" t="s">
        <v>584</v>
      </c>
      <c r="I1598" t="s">
        <v>25</v>
      </c>
      <c r="J1598">
        <v>226</v>
      </c>
      <c r="K1598" t="s">
        <v>585</v>
      </c>
      <c r="N1598">
        <v>10</v>
      </c>
      <c r="O1598">
        <v>0.37090000000000001</v>
      </c>
      <c r="P1598" t="s">
        <v>38</v>
      </c>
      <c r="Q1598" s="1">
        <v>0</v>
      </c>
      <c r="R1598" t="s">
        <v>1272</v>
      </c>
      <c r="S1598" t="str">
        <f t="shared" si="11"/>
        <v>ko hợp</v>
      </c>
    </row>
    <row r="1599" spans="1:19" hidden="1" x14ac:dyDescent="0.3">
      <c r="A1599" t="s">
        <v>1237</v>
      </c>
      <c r="B1599" t="s">
        <v>1238</v>
      </c>
      <c r="C1599" t="s">
        <v>1224</v>
      </c>
      <c r="D1599">
        <v>13606</v>
      </c>
      <c r="E1599" t="s">
        <v>540</v>
      </c>
      <c r="F1599" t="s">
        <v>22</v>
      </c>
      <c r="G1599" t="s">
        <v>541</v>
      </c>
      <c r="H1599" t="s">
        <v>542</v>
      </c>
      <c r="I1599" t="s">
        <v>31</v>
      </c>
      <c r="J1599">
        <v>1061</v>
      </c>
      <c r="K1599" t="s">
        <v>543</v>
      </c>
      <c r="L1599">
        <v>1</v>
      </c>
      <c r="M1599">
        <v>15.173299999999999</v>
      </c>
      <c r="P1599" t="s">
        <v>33</v>
      </c>
      <c r="Q1599" s="1">
        <v>0</v>
      </c>
      <c r="R1599" t="s">
        <v>1272</v>
      </c>
      <c r="S1599" t="str">
        <f t="shared" si="11"/>
        <v>ko hợp</v>
      </c>
    </row>
    <row r="1600" spans="1:19" hidden="1" x14ac:dyDescent="0.3">
      <c r="A1600" t="s">
        <v>1237</v>
      </c>
      <c r="B1600" t="s">
        <v>1238</v>
      </c>
      <c r="C1600" t="s">
        <v>1224</v>
      </c>
      <c r="D1600">
        <v>16145</v>
      </c>
      <c r="E1600" t="s">
        <v>182</v>
      </c>
      <c r="F1600" t="s">
        <v>155</v>
      </c>
      <c r="G1600" t="s">
        <v>183</v>
      </c>
      <c r="H1600" t="s">
        <v>184</v>
      </c>
      <c r="I1600" t="s">
        <v>31</v>
      </c>
      <c r="J1600">
        <v>2447</v>
      </c>
      <c r="K1600" t="s">
        <v>185</v>
      </c>
      <c r="L1600">
        <v>2</v>
      </c>
      <c r="M1600">
        <v>14.2354</v>
      </c>
      <c r="N1600">
        <v>1</v>
      </c>
      <c r="O1600">
        <v>0.44419999999999998</v>
      </c>
      <c r="P1600" t="s">
        <v>27</v>
      </c>
      <c r="Q1600" s="1">
        <v>0</v>
      </c>
      <c r="R1600" t="s">
        <v>1272</v>
      </c>
      <c r="S1600" t="str">
        <f t="shared" si="11"/>
        <v>ko hợp</v>
      </c>
    </row>
    <row r="1601" spans="1:19" hidden="1" x14ac:dyDescent="0.3">
      <c r="A1601" t="s">
        <v>1237</v>
      </c>
      <c r="B1601" t="s">
        <v>1238</v>
      </c>
      <c r="C1601" t="s">
        <v>1224</v>
      </c>
      <c r="D1601">
        <v>18831</v>
      </c>
      <c r="E1601" t="s">
        <v>841</v>
      </c>
      <c r="F1601" t="s">
        <v>842</v>
      </c>
      <c r="G1601" t="s">
        <v>41</v>
      </c>
      <c r="H1601" t="s">
        <v>843</v>
      </c>
      <c r="I1601" t="s">
        <v>31</v>
      </c>
      <c r="J1601">
        <v>565</v>
      </c>
      <c r="K1601" t="s">
        <v>844</v>
      </c>
      <c r="N1601">
        <v>2</v>
      </c>
      <c r="O1601">
        <v>0.44180000000000003</v>
      </c>
      <c r="P1601" t="s">
        <v>38</v>
      </c>
      <c r="Q1601" s="1">
        <v>0</v>
      </c>
      <c r="R1601" t="s">
        <v>1272</v>
      </c>
      <c r="S1601" t="str">
        <f t="shared" si="11"/>
        <v>ko hợp</v>
      </c>
    </row>
    <row r="1602" spans="1:19" hidden="1" x14ac:dyDescent="0.3">
      <c r="A1602" t="s">
        <v>1237</v>
      </c>
      <c r="B1602" t="s">
        <v>1238</v>
      </c>
      <c r="C1602" t="s">
        <v>1224</v>
      </c>
      <c r="D1602">
        <v>18422</v>
      </c>
      <c r="E1602" t="s">
        <v>301</v>
      </c>
      <c r="F1602" t="s">
        <v>302</v>
      </c>
      <c r="G1602" t="s">
        <v>303</v>
      </c>
      <c r="H1602" t="s">
        <v>304</v>
      </c>
      <c r="I1602" t="s">
        <v>31</v>
      </c>
      <c r="J1602">
        <v>500</v>
      </c>
      <c r="K1602" t="s">
        <v>305</v>
      </c>
      <c r="N1602">
        <v>3</v>
      </c>
      <c r="O1602">
        <v>0.43909999999999999</v>
      </c>
      <c r="P1602" t="s">
        <v>38</v>
      </c>
      <c r="Q1602" s="1">
        <v>2</v>
      </c>
      <c r="R1602" t="s">
        <v>1272</v>
      </c>
      <c r="S1602" t="str">
        <f t="shared" si="11"/>
        <v>ok</v>
      </c>
    </row>
    <row r="1603" spans="1:19" hidden="1" x14ac:dyDescent="0.3">
      <c r="A1603" t="s">
        <v>1237</v>
      </c>
      <c r="B1603" t="s">
        <v>1238</v>
      </c>
      <c r="C1603" t="s">
        <v>1224</v>
      </c>
      <c r="D1603">
        <v>19676</v>
      </c>
      <c r="E1603" t="s">
        <v>544</v>
      </c>
      <c r="F1603" t="s">
        <v>545</v>
      </c>
      <c r="G1603" t="s">
        <v>41</v>
      </c>
      <c r="H1603" t="s">
        <v>546</v>
      </c>
      <c r="I1603" t="s">
        <v>25</v>
      </c>
      <c r="J1603">
        <v>907</v>
      </c>
      <c r="K1603" t="s">
        <v>547</v>
      </c>
      <c r="L1603">
        <v>3</v>
      </c>
      <c r="M1603">
        <v>14.0966</v>
      </c>
      <c r="P1603" t="s">
        <v>33</v>
      </c>
      <c r="Q1603" s="1">
        <v>0</v>
      </c>
      <c r="R1603" t="s">
        <v>1272</v>
      </c>
      <c r="S1603" t="str">
        <f t="shared" si="11"/>
        <v>ko hợp</v>
      </c>
    </row>
    <row r="1604" spans="1:19" hidden="1" x14ac:dyDescent="0.3">
      <c r="A1604" t="s">
        <v>1237</v>
      </c>
      <c r="B1604" t="s">
        <v>1238</v>
      </c>
      <c r="C1604" t="s">
        <v>1224</v>
      </c>
      <c r="D1604">
        <v>9821</v>
      </c>
      <c r="E1604" t="s">
        <v>21</v>
      </c>
      <c r="F1604" t="s">
        <v>22</v>
      </c>
      <c r="G1604" t="s">
        <v>23</v>
      </c>
      <c r="H1604" t="s">
        <v>24</v>
      </c>
      <c r="I1604" t="s">
        <v>25</v>
      </c>
      <c r="J1604">
        <v>998</v>
      </c>
      <c r="K1604" t="s">
        <v>26</v>
      </c>
      <c r="N1604">
        <v>4</v>
      </c>
      <c r="O1604">
        <v>0.43690000000000001</v>
      </c>
      <c r="P1604" t="s">
        <v>38</v>
      </c>
      <c r="Q1604" s="1">
        <v>1</v>
      </c>
      <c r="R1604" t="s">
        <v>1272</v>
      </c>
      <c r="S1604" t="str">
        <f t="shared" si="11"/>
        <v>Phù hợp 1 phần</v>
      </c>
    </row>
    <row r="1605" spans="1:19" hidden="1" x14ac:dyDescent="0.3">
      <c r="A1605" t="s">
        <v>1237</v>
      </c>
      <c r="B1605" t="s">
        <v>1238</v>
      </c>
      <c r="C1605" t="s">
        <v>1224</v>
      </c>
      <c r="D1605">
        <v>13817</v>
      </c>
      <c r="E1605" t="s">
        <v>1153</v>
      </c>
      <c r="F1605" t="s">
        <v>22</v>
      </c>
      <c r="G1605" t="s">
        <v>1154</v>
      </c>
      <c r="H1605" t="s">
        <v>1155</v>
      </c>
      <c r="I1605" t="s">
        <v>31</v>
      </c>
      <c r="J1605">
        <v>1533</v>
      </c>
      <c r="K1605" t="s">
        <v>1156</v>
      </c>
      <c r="L1605">
        <v>4</v>
      </c>
      <c r="M1605">
        <v>13.0319</v>
      </c>
      <c r="P1605" t="s">
        <v>33</v>
      </c>
      <c r="Q1605" s="1">
        <v>1</v>
      </c>
      <c r="R1605" t="s">
        <v>1272</v>
      </c>
      <c r="S1605" t="str">
        <f t="shared" si="11"/>
        <v>Phù hợp 1 phần</v>
      </c>
    </row>
    <row r="1606" spans="1:19" hidden="1" x14ac:dyDescent="0.3">
      <c r="A1606" t="s">
        <v>1237</v>
      </c>
      <c r="B1606" t="s">
        <v>1238</v>
      </c>
      <c r="C1606" t="s">
        <v>1224</v>
      </c>
      <c r="D1606">
        <v>20479</v>
      </c>
      <c r="E1606" t="s">
        <v>1002</v>
      </c>
      <c r="F1606" t="s">
        <v>1003</v>
      </c>
      <c r="G1606" t="s">
        <v>41</v>
      </c>
      <c r="H1606" t="s">
        <v>1004</v>
      </c>
      <c r="I1606" t="s">
        <v>25</v>
      </c>
      <c r="J1606">
        <v>576</v>
      </c>
      <c r="K1606" t="s">
        <v>1005</v>
      </c>
      <c r="N1606">
        <v>5</v>
      </c>
      <c r="O1606">
        <v>0.43269999999999997</v>
      </c>
      <c r="P1606" t="s">
        <v>38</v>
      </c>
      <c r="Q1606" s="1">
        <v>0</v>
      </c>
      <c r="R1606" t="s">
        <v>1272</v>
      </c>
      <c r="S1606" t="str">
        <f t="shared" si="11"/>
        <v>ko hợp</v>
      </c>
    </row>
    <row r="1607" spans="1:19" hidden="1" x14ac:dyDescent="0.3">
      <c r="A1607" t="s">
        <v>1237</v>
      </c>
      <c r="B1607" t="s">
        <v>1238</v>
      </c>
      <c r="C1607" t="s">
        <v>1224</v>
      </c>
      <c r="D1607">
        <v>20663</v>
      </c>
      <c r="E1607" t="s">
        <v>536</v>
      </c>
      <c r="F1607" t="s">
        <v>60</v>
      </c>
      <c r="G1607" t="s">
        <v>537</v>
      </c>
      <c r="H1607" t="s">
        <v>538</v>
      </c>
      <c r="I1607" t="s">
        <v>25</v>
      </c>
      <c r="J1607">
        <v>941</v>
      </c>
      <c r="K1607" t="s">
        <v>539</v>
      </c>
      <c r="L1607">
        <v>5</v>
      </c>
      <c r="M1607">
        <v>12.5313</v>
      </c>
      <c r="P1607" t="s">
        <v>33</v>
      </c>
      <c r="Q1607" s="1">
        <v>0</v>
      </c>
      <c r="R1607" t="s">
        <v>1272</v>
      </c>
      <c r="S1607" t="str">
        <f t="shared" si="11"/>
        <v>ko hợp</v>
      </c>
    </row>
    <row r="1608" spans="1:19" hidden="1" x14ac:dyDescent="0.3">
      <c r="A1608" t="s">
        <v>1237</v>
      </c>
      <c r="B1608" t="s">
        <v>1238</v>
      </c>
      <c r="C1608" t="s">
        <v>1224</v>
      </c>
      <c r="D1608">
        <v>19019</v>
      </c>
      <c r="E1608" t="s">
        <v>296</v>
      </c>
      <c r="F1608" t="s">
        <v>297</v>
      </c>
      <c r="G1608" t="s">
        <v>298</v>
      </c>
      <c r="H1608" t="s">
        <v>299</v>
      </c>
      <c r="I1608" t="s">
        <v>25</v>
      </c>
      <c r="J1608">
        <v>999</v>
      </c>
      <c r="K1608" t="s">
        <v>300</v>
      </c>
      <c r="L1608">
        <v>9</v>
      </c>
      <c r="M1608">
        <v>11.1747</v>
      </c>
      <c r="N1608">
        <v>6</v>
      </c>
      <c r="O1608">
        <v>0.43109999999999998</v>
      </c>
      <c r="P1608" t="s">
        <v>27</v>
      </c>
      <c r="Q1608" s="1">
        <v>0</v>
      </c>
      <c r="R1608" t="s">
        <v>1272</v>
      </c>
      <c r="S1608" t="str">
        <f t="shared" si="11"/>
        <v>ko hợp</v>
      </c>
    </row>
    <row r="1609" spans="1:19" hidden="1" x14ac:dyDescent="0.3">
      <c r="A1609" t="s">
        <v>1237</v>
      </c>
      <c r="B1609" t="s">
        <v>1238</v>
      </c>
      <c r="C1609" t="s">
        <v>1224</v>
      </c>
      <c r="D1609">
        <v>19064</v>
      </c>
      <c r="E1609" t="s">
        <v>551</v>
      </c>
      <c r="F1609" t="s">
        <v>552</v>
      </c>
      <c r="G1609" t="s">
        <v>405</v>
      </c>
      <c r="H1609" t="s">
        <v>553</v>
      </c>
      <c r="I1609" t="s">
        <v>31</v>
      </c>
      <c r="J1609">
        <v>1167</v>
      </c>
      <c r="K1609" t="s">
        <v>554</v>
      </c>
      <c r="L1609">
        <v>6</v>
      </c>
      <c r="M1609">
        <v>12.2486</v>
      </c>
      <c r="P1609" t="s">
        <v>33</v>
      </c>
      <c r="Q1609" s="1">
        <v>0</v>
      </c>
      <c r="R1609" t="s">
        <v>1272</v>
      </c>
      <c r="S1609" t="str">
        <f t="shared" si="11"/>
        <v>ko hợp</v>
      </c>
    </row>
    <row r="1610" spans="1:19" hidden="1" x14ac:dyDescent="0.3">
      <c r="A1610" t="s">
        <v>1237</v>
      </c>
      <c r="B1610" t="s">
        <v>1238</v>
      </c>
      <c r="C1610" t="s">
        <v>1224</v>
      </c>
      <c r="D1610">
        <v>13623</v>
      </c>
      <c r="E1610" t="s">
        <v>548</v>
      </c>
      <c r="F1610" t="s">
        <v>60</v>
      </c>
      <c r="G1610" t="s">
        <v>318</v>
      </c>
      <c r="H1610" t="s">
        <v>549</v>
      </c>
      <c r="I1610" t="s">
        <v>31</v>
      </c>
      <c r="J1610">
        <v>509</v>
      </c>
      <c r="K1610" t="s">
        <v>550</v>
      </c>
      <c r="L1610">
        <v>7</v>
      </c>
      <c r="M1610">
        <v>11.8239</v>
      </c>
      <c r="P1610" t="s">
        <v>33</v>
      </c>
      <c r="Q1610" s="1">
        <v>0</v>
      </c>
      <c r="R1610" t="s">
        <v>1272</v>
      </c>
      <c r="S1610" t="str">
        <f t="shared" si="11"/>
        <v>ko hợp</v>
      </c>
    </row>
    <row r="1611" spans="1:19" hidden="1" x14ac:dyDescent="0.3">
      <c r="A1611" t="s">
        <v>1237</v>
      </c>
      <c r="B1611" t="s">
        <v>1238</v>
      </c>
      <c r="C1611" t="s">
        <v>1224</v>
      </c>
      <c r="D1611">
        <v>19312</v>
      </c>
      <c r="E1611" t="s">
        <v>321</v>
      </c>
      <c r="F1611" t="s">
        <v>322</v>
      </c>
      <c r="G1611" t="s">
        <v>323</v>
      </c>
      <c r="H1611" t="s">
        <v>324</v>
      </c>
      <c r="I1611" t="s">
        <v>31</v>
      </c>
      <c r="J1611">
        <v>2453</v>
      </c>
      <c r="K1611" t="s">
        <v>325</v>
      </c>
      <c r="N1611">
        <v>7</v>
      </c>
      <c r="O1611">
        <v>0.4239</v>
      </c>
      <c r="P1611" t="s">
        <v>38</v>
      </c>
      <c r="Q1611" s="1">
        <v>1</v>
      </c>
      <c r="R1611" t="s">
        <v>1272</v>
      </c>
      <c r="S1611" t="str">
        <f t="shared" si="11"/>
        <v>Phù hợp 1 phần</v>
      </c>
    </row>
    <row r="1612" spans="1:19" hidden="1" x14ac:dyDescent="0.3">
      <c r="A1612" t="s">
        <v>1237</v>
      </c>
      <c r="B1612" t="s">
        <v>1238</v>
      </c>
      <c r="C1612" t="s">
        <v>1224</v>
      </c>
      <c r="D1612">
        <v>6637</v>
      </c>
      <c r="E1612" t="s">
        <v>735</v>
      </c>
      <c r="F1612" t="s">
        <v>60</v>
      </c>
      <c r="G1612" t="s">
        <v>736</v>
      </c>
      <c r="H1612" t="s">
        <v>737</v>
      </c>
      <c r="I1612" t="s">
        <v>25</v>
      </c>
      <c r="J1612">
        <v>1382</v>
      </c>
      <c r="K1612" t="s">
        <v>738</v>
      </c>
      <c r="N1612">
        <v>8</v>
      </c>
      <c r="O1612">
        <v>0.4229</v>
      </c>
      <c r="P1612" t="s">
        <v>38</v>
      </c>
      <c r="Q1612" s="1">
        <v>0</v>
      </c>
      <c r="R1612" t="s">
        <v>1272</v>
      </c>
      <c r="S1612" t="str">
        <f t="shared" si="11"/>
        <v>ko hợp</v>
      </c>
    </row>
    <row r="1613" spans="1:19" hidden="1" x14ac:dyDescent="0.3">
      <c r="A1613" t="s">
        <v>1237</v>
      </c>
      <c r="B1613" t="s">
        <v>1238</v>
      </c>
      <c r="C1613" t="s">
        <v>1224</v>
      </c>
      <c r="D1613">
        <v>19111</v>
      </c>
      <c r="E1613" t="s">
        <v>645</v>
      </c>
      <c r="F1613" t="s">
        <v>22</v>
      </c>
      <c r="G1613" t="s">
        <v>646</v>
      </c>
      <c r="H1613" t="s">
        <v>647</v>
      </c>
      <c r="I1613" t="s">
        <v>31</v>
      </c>
      <c r="J1613">
        <v>240</v>
      </c>
      <c r="K1613" t="s">
        <v>648</v>
      </c>
      <c r="L1613">
        <v>8</v>
      </c>
      <c r="M1613">
        <v>11.230399999999999</v>
      </c>
      <c r="P1613" t="s">
        <v>33</v>
      </c>
      <c r="Q1613" s="1">
        <v>2</v>
      </c>
      <c r="R1613" t="s">
        <v>1272</v>
      </c>
      <c r="S1613" t="str">
        <f t="shared" ref="S1613:S1676" si="12">IF(Q1613=2,"ok",IF(Q1613=1,"Phù hợp 1 phần", "ko hợp"))</f>
        <v>ok</v>
      </c>
    </row>
    <row r="1614" spans="1:19" hidden="1" x14ac:dyDescent="0.3">
      <c r="A1614" t="s">
        <v>1237</v>
      </c>
      <c r="B1614" t="s">
        <v>1238</v>
      </c>
      <c r="C1614" t="s">
        <v>1224</v>
      </c>
      <c r="D1614">
        <v>20532</v>
      </c>
      <c r="E1614" t="s">
        <v>221</v>
      </c>
      <c r="F1614" t="s">
        <v>222</v>
      </c>
      <c r="G1614" t="s">
        <v>41</v>
      </c>
      <c r="H1614" t="s">
        <v>223</v>
      </c>
      <c r="I1614" t="s">
        <v>25</v>
      </c>
      <c r="J1614">
        <v>1105</v>
      </c>
      <c r="K1614" t="s">
        <v>224</v>
      </c>
      <c r="N1614">
        <v>9</v>
      </c>
      <c r="O1614">
        <v>0.41549999999999998</v>
      </c>
      <c r="P1614" t="s">
        <v>38</v>
      </c>
      <c r="Q1614" s="1">
        <v>0</v>
      </c>
      <c r="R1614" t="s">
        <v>1272</v>
      </c>
      <c r="S1614" t="str">
        <f t="shared" si="12"/>
        <v>ko hợp</v>
      </c>
    </row>
    <row r="1615" spans="1:19" hidden="1" x14ac:dyDescent="0.3">
      <c r="A1615" t="s">
        <v>1237</v>
      </c>
      <c r="B1615" t="s">
        <v>1238</v>
      </c>
      <c r="C1615" t="s">
        <v>1224</v>
      </c>
      <c r="D1615">
        <v>15013</v>
      </c>
      <c r="E1615" t="s">
        <v>59</v>
      </c>
      <c r="F1615" t="s">
        <v>60</v>
      </c>
      <c r="G1615" t="s">
        <v>61</v>
      </c>
      <c r="H1615" t="s">
        <v>62</v>
      </c>
      <c r="I1615" t="s">
        <v>25</v>
      </c>
      <c r="J1615">
        <v>550</v>
      </c>
      <c r="K1615" t="s">
        <v>63</v>
      </c>
      <c r="N1615">
        <v>10</v>
      </c>
      <c r="O1615">
        <v>0.41289999999999999</v>
      </c>
      <c r="P1615" t="s">
        <v>38</v>
      </c>
      <c r="Q1615" s="1">
        <v>0</v>
      </c>
      <c r="R1615" t="s">
        <v>1272</v>
      </c>
      <c r="S1615" t="str">
        <f t="shared" si="12"/>
        <v>ko hợp</v>
      </c>
    </row>
    <row r="1616" spans="1:19" hidden="1" x14ac:dyDescent="0.3">
      <c r="A1616" t="s">
        <v>1237</v>
      </c>
      <c r="B1616" t="s">
        <v>1238</v>
      </c>
      <c r="C1616" t="s">
        <v>1224</v>
      </c>
      <c r="D1616">
        <v>19831</v>
      </c>
      <c r="E1616" t="s">
        <v>880</v>
      </c>
      <c r="F1616" t="s">
        <v>22</v>
      </c>
      <c r="G1616" t="s">
        <v>806</v>
      </c>
      <c r="H1616" t="s">
        <v>881</v>
      </c>
      <c r="I1616" t="s">
        <v>31</v>
      </c>
      <c r="J1616">
        <v>194</v>
      </c>
      <c r="K1616" t="s">
        <v>882</v>
      </c>
      <c r="L1616">
        <v>10</v>
      </c>
      <c r="M1616">
        <v>11.0237</v>
      </c>
      <c r="P1616" t="s">
        <v>33</v>
      </c>
      <c r="Q1616" s="1">
        <v>2</v>
      </c>
      <c r="R1616" t="s">
        <v>1272</v>
      </c>
      <c r="S1616" t="str">
        <f t="shared" si="12"/>
        <v>ok</v>
      </c>
    </row>
    <row r="1617" spans="1:19" hidden="1" x14ac:dyDescent="0.3">
      <c r="A1617" t="s">
        <v>1239</v>
      </c>
      <c r="B1617" t="s">
        <v>1240</v>
      </c>
      <c r="C1617" t="s">
        <v>1224</v>
      </c>
      <c r="D1617">
        <v>19064</v>
      </c>
      <c r="E1617" t="s">
        <v>551</v>
      </c>
      <c r="F1617" t="s">
        <v>552</v>
      </c>
      <c r="G1617" t="s">
        <v>405</v>
      </c>
      <c r="H1617" t="s">
        <v>553</v>
      </c>
      <c r="I1617" t="s">
        <v>31</v>
      </c>
      <c r="J1617">
        <v>1167</v>
      </c>
      <c r="K1617" t="s">
        <v>554</v>
      </c>
      <c r="L1617">
        <v>1</v>
      </c>
      <c r="M1617">
        <v>12.9458</v>
      </c>
      <c r="P1617" t="s">
        <v>33</v>
      </c>
      <c r="Q1617" s="1">
        <v>0</v>
      </c>
      <c r="R1617" t="s">
        <v>1272</v>
      </c>
      <c r="S1617" t="str">
        <f t="shared" si="12"/>
        <v>ko hợp</v>
      </c>
    </row>
    <row r="1618" spans="1:19" hidden="1" x14ac:dyDescent="0.3">
      <c r="A1618" t="s">
        <v>1239</v>
      </c>
      <c r="B1618" t="s">
        <v>1240</v>
      </c>
      <c r="C1618" t="s">
        <v>1224</v>
      </c>
      <c r="D1618">
        <v>20773</v>
      </c>
      <c r="E1618" t="s">
        <v>109</v>
      </c>
      <c r="F1618" t="s">
        <v>60</v>
      </c>
      <c r="G1618" t="s">
        <v>41</v>
      </c>
      <c r="H1618" t="s">
        <v>110</v>
      </c>
      <c r="I1618" t="s">
        <v>25</v>
      </c>
      <c r="J1618">
        <v>1156</v>
      </c>
      <c r="K1618" t="s">
        <v>111</v>
      </c>
      <c r="N1618">
        <v>1</v>
      </c>
      <c r="O1618">
        <v>0.42859999999999998</v>
      </c>
      <c r="P1618" t="s">
        <v>38</v>
      </c>
      <c r="Q1618" s="1">
        <v>1</v>
      </c>
      <c r="R1618" t="s">
        <v>1272</v>
      </c>
      <c r="S1618" t="str">
        <f t="shared" si="12"/>
        <v>Phù hợp 1 phần</v>
      </c>
    </row>
    <row r="1619" spans="1:19" hidden="1" x14ac:dyDescent="0.3">
      <c r="A1619" t="s">
        <v>1239</v>
      </c>
      <c r="B1619" t="s">
        <v>1240</v>
      </c>
      <c r="C1619" t="s">
        <v>1224</v>
      </c>
      <c r="D1619">
        <v>171</v>
      </c>
      <c r="E1619" t="s">
        <v>102</v>
      </c>
      <c r="F1619" t="s">
        <v>103</v>
      </c>
      <c r="G1619" t="s">
        <v>104</v>
      </c>
      <c r="H1619" t="s">
        <v>105</v>
      </c>
      <c r="I1619" t="s">
        <v>31</v>
      </c>
      <c r="J1619">
        <v>474</v>
      </c>
      <c r="K1619" t="s">
        <v>106</v>
      </c>
      <c r="N1619">
        <v>2</v>
      </c>
      <c r="O1619">
        <v>0.42670000000000002</v>
      </c>
      <c r="P1619" t="s">
        <v>38</v>
      </c>
      <c r="Q1619" s="1">
        <v>0</v>
      </c>
      <c r="R1619" t="s">
        <v>1272</v>
      </c>
      <c r="S1619" t="str">
        <f t="shared" si="12"/>
        <v>ko hợp</v>
      </c>
    </row>
    <row r="1620" spans="1:19" hidden="1" x14ac:dyDescent="0.3">
      <c r="A1620" t="s">
        <v>1239</v>
      </c>
      <c r="B1620" t="s">
        <v>1240</v>
      </c>
      <c r="C1620" t="s">
        <v>1224</v>
      </c>
      <c r="D1620">
        <v>19312</v>
      </c>
      <c r="E1620" t="s">
        <v>321</v>
      </c>
      <c r="F1620" t="s">
        <v>322</v>
      </c>
      <c r="G1620" t="s">
        <v>323</v>
      </c>
      <c r="H1620" t="s">
        <v>324</v>
      </c>
      <c r="I1620" t="s">
        <v>31</v>
      </c>
      <c r="J1620">
        <v>2453</v>
      </c>
      <c r="K1620" t="s">
        <v>325</v>
      </c>
      <c r="L1620">
        <v>2</v>
      </c>
      <c r="M1620">
        <v>12.6838</v>
      </c>
      <c r="N1620">
        <v>7</v>
      </c>
      <c r="O1620">
        <v>0.4007</v>
      </c>
      <c r="P1620" t="s">
        <v>27</v>
      </c>
      <c r="Q1620" s="1">
        <v>0</v>
      </c>
      <c r="R1620" t="s">
        <v>1272</v>
      </c>
      <c r="S1620" t="str">
        <f t="shared" si="12"/>
        <v>ko hợp</v>
      </c>
    </row>
    <row r="1621" spans="1:19" hidden="1" x14ac:dyDescent="0.3">
      <c r="A1621" t="s">
        <v>1239</v>
      </c>
      <c r="B1621" t="s">
        <v>1240</v>
      </c>
      <c r="C1621" t="s">
        <v>1224</v>
      </c>
      <c r="D1621">
        <v>17365</v>
      </c>
      <c r="E1621" t="s">
        <v>578</v>
      </c>
      <c r="F1621" t="s">
        <v>60</v>
      </c>
      <c r="G1621" t="s">
        <v>579</v>
      </c>
      <c r="H1621" t="s">
        <v>580</v>
      </c>
      <c r="I1621" t="s">
        <v>31</v>
      </c>
      <c r="J1621">
        <v>1906</v>
      </c>
      <c r="K1621" t="s">
        <v>581</v>
      </c>
      <c r="N1621">
        <v>3</v>
      </c>
      <c r="O1621">
        <v>0.42180000000000001</v>
      </c>
      <c r="P1621" t="s">
        <v>38</v>
      </c>
      <c r="Q1621" s="1">
        <v>1</v>
      </c>
      <c r="R1621" t="s">
        <v>1272</v>
      </c>
      <c r="S1621" t="str">
        <f t="shared" si="12"/>
        <v>Phù hợp 1 phần</v>
      </c>
    </row>
    <row r="1622" spans="1:19" hidden="1" x14ac:dyDescent="0.3">
      <c r="A1622" t="s">
        <v>1239</v>
      </c>
      <c r="B1622" t="s">
        <v>1240</v>
      </c>
      <c r="C1622" t="s">
        <v>1224</v>
      </c>
      <c r="D1622">
        <v>19710</v>
      </c>
      <c r="E1622" t="s">
        <v>199</v>
      </c>
      <c r="F1622" t="s">
        <v>200</v>
      </c>
      <c r="G1622" t="s">
        <v>201</v>
      </c>
      <c r="H1622" t="s">
        <v>202</v>
      </c>
      <c r="I1622" t="s">
        <v>31</v>
      </c>
      <c r="J1622">
        <v>262</v>
      </c>
      <c r="K1622" t="s">
        <v>203</v>
      </c>
      <c r="L1622">
        <v>3</v>
      </c>
      <c r="M1622">
        <v>11.6568</v>
      </c>
      <c r="P1622" t="s">
        <v>33</v>
      </c>
      <c r="Q1622" s="1">
        <v>0</v>
      </c>
      <c r="R1622" t="s">
        <v>1272</v>
      </c>
      <c r="S1622" t="str">
        <f t="shared" si="12"/>
        <v>ko hợp</v>
      </c>
    </row>
    <row r="1623" spans="1:19" hidden="1" x14ac:dyDescent="0.3">
      <c r="A1623" t="s">
        <v>1239</v>
      </c>
      <c r="B1623" t="s">
        <v>1240</v>
      </c>
      <c r="C1623" t="s">
        <v>1224</v>
      </c>
      <c r="D1623">
        <v>2021</v>
      </c>
      <c r="E1623" t="s">
        <v>582</v>
      </c>
      <c r="F1623" t="s">
        <v>570</v>
      </c>
      <c r="G1623" t="s">
        <v>583</v>
      </c>
      <c r="H1623" t="s">
        <v>584</v>
      </c>
      <c r="I1623" t="s">
        <v>25</v>
      </c>
      <c r="J1623">
        <v>226</v>
      </c>
      <c r="K1623" t="s">
        <v>585</v>
      </c>
      <c r="L1623">
        <v>4</v>
      </c>
      <c r="M1623">
        <v>11.424200000000001</v>
      </c>
      <c r="P1623" t="s">
        <v>33</v>
      </c>
      <c r="Q1623" s="1">
        <v>0</v>
      </c>
      <c r="R1623" t="s">
        <v>1272</v>
      </c>
      <c r="S1623" t="str">
        <f t="shared" si="12"/>
        <v>ko hợp</v>
      </c>
    </row>
    <row r="1624" spans="1:19" hidden="1" x14ac:dyDescent="0.3">
      <c r="A1624" t="s">
        <v>1239</v>
      </c>
      <c r="B1624" t="s">
        <v>1240</v>
      </c>
      <c r="C1624" t="s">
        <v>1224</v>
      </c>
      <c r="D1624">
        <v>16814</v>
      </c>
      <c r="E1624" t="s">
        <v>787</v>
      </c>
      <c r="F1624" t="s">
        <v>60</v>
      </c>
      <c r="G1624" t="s">
        <v>788</v>
      </c>
      <c r="H1624" t="s">
        <v>789</v>
      </c>
      <c r="I1624" t="s">
        <v>25</v>
      </c>
      <c r="J1624">
        <v>483</v>
      </c>
      <c r="K1624" t="s">
        <v>790</v>
      </c>
      <c r="N1624">
        <v>4</v>
      </c>
      <c r="O1624">
        <v>0.40920000000000001</v>
      </c>
      <c r="P1624" t="s">
        <v>38</v>
      </c>
      <c r="Q1624" s="1">
        <v>1</v>
      </c>
      <c r="R1624" t="s">
        <v>1272</v>
      </c>
      <c r="S1624" t="str">
        <f t="shared" si="12"/>
        <v>Phù hợp 1 phần</v>
      </c>
    </row>
    <row r="1625" spans="1:19" hidden="1" x14ac:dyDescent="0.3">
      <c r="A1625" t="s">
        <v>1239</v>
      </c>
      <c r="B1625" t="s">
        <v>1240</v>
      </c>
      <c r="C1625" t="s">
        <v>1224</v>
      </c>
      <c r="D1625">
        <v>12265</v>
      </c>
      <c r="E1625" t="s">
        <v>569</v>
      </c>
      <c r="F1625" t="s">
        <v>570</v>
      </c>
      <c r="G1625" t="s">
        <v>571</v>
      </c>
      <c r="H1625" t="s">
        <v>572</v>
      </c>
      <c r="I1625" t="s">
        <v>31</v>
      </c>
      <c r="J1625">
        <v>227</v>
      </c>
      <c r="K1625" t="s">
        <v>573</v>
      </c>
      <c r="L1625">
        <v>5</v>
      </c>
      <c r="M1625">
        <v>10.877800000000001</v>
      </c>
      <c r="P1625" t="s">
        <v>33</v>
      </c>
      <c r="Q1625" s="1">
        <v>0</v>
      </c>
      <c r="R1625" t="s">
        <v>1272</v>
      </c>
      <c r="S1625" t="str">
        <f t="shared" si="12"/>
        <v>ko hợp</v>
      </c>
    </row>
    <row r="1626" spans="1:19" hidden="1" x14ac:dyDescent="0.3">
      <c r="A1626" t="s">
        <v>1239</v>
      </c>
      <c r="B1626" t="s">
        <v>1240</v>
      </c>
      <c r="C1626" t="s">
        <v>1224</v>
      </c>
      <c r="D1626">
        <v>13514</v>
      </c>
      <c r="E1626" t="s">
        <v>64</v>
      </c>
      <c r="F1626" t="s">
        <v>60</v>
      </c>
      <c r="G1626" t="s">
        <v>65</v>
      </c>
      <c r="H1626" t="s">
        <v>66</v>
      </c>
      <c r="I1626" t="s">
        <v>31</v>
      </c>
      <c r="J1626">
        <v>587</v>
      </c>
      <c r="K1626" t="s">
        <v>67</v>
      </c>
      <c r="N1626">
        <v>5</v>
      </c>
      <c r="O1626">
        <v>0.40810000000000002</v>
      </c>
      <c r="P1626" t="s">
        <v>38</v>
      </c>
      <c r="Q1626" s="1">
        <v>1</v>
      </c>
      <c r="R1626" t="s">
        <v>1272</v>
      </c>
      <c r="S1626" t="str">
        <f t="shared" si="12"/>
        <v>Phù hợp 1 phần</v>
      </c>
    </row>
    <row r="1627" spans="1:19" hidden="1" x14ac:dyDescent="0.3">
      <c r="A1627" t="s">
        <v>1239</v>
      </c>
      <c r="B1627" t="s">
        <v>1240</v>
      </c>
      <c r="C1627" t="s">
        <v>1224</v>
      </c>
      <c r="D1627">
        <v>18703</v>
      </c>
      <c r="E1627" t="s">
        <v>116</v>
      </c>
      <c r="F1627" t="s">
        <v>117</v>
      </c>
      <c r="G1627" t="s">
        <v>118</v>
      </c>
      <c r="H1627" t="s">
        <v>119</v>
      </c>
      <c r="I1627" t="s">
        <v>31</v>
      </c>
      <c r="J1627">
        <v>303</v>
      </c>
      <c r="K1627" t="s">
        <v>120</v>
      </c>
      <c r="N1627">
        <v>6</v>
      </c>
      <c r="O1627">
        <v>0.40279999999999999</v>
      </c>
      <c r="P1627" t="s">
        <v>38</v>
      </c>
      <c r="Q1627" s="1">
        <v>0</v>
      </c>
      <c r="R1627" t="s">
        <v>1272</v>
      </c>
      <c r="S1627" t="str">
        <f t="shared" si="12"/>
        <v>ko hợp</v>
      </c>
    </row>
    <row r="1628" spans="1:19" hidden="1" x14ac:dyDescent="0.3">
      <c r="A1628" t="s">
        <v>1239</v>
      </c>
      <c r="B1628" t="s">
        <v>1240</v>
      </c>
      <c r="C1628" t="s">
        <v>1224</v>
      </c>
      <c r="D1628">
        <v>19317</v>
      </c>
      <c r="E1628" t="s">
        <v>44</v>
      </c>
      <c r="F1628" t="s">
        <v>45</v>
      </c>
      <c r="G1628" t="s">
        <v>46</v>
      </c>
      <c r="H1628" t="s">
        <v>47</v>
      </c>
      <c r="I1628" t="s">
        <v>31</v>
      </c>
      <c r="J1628">
        <v>4168</v>
      </c>
      <c r="K1628" t="s">
        <v>48</v>
      </c>
      <c r="L1628">
        <v>6</v>
      </c>
      <c r="M1628">
        <v>10.3855</v>
      </c>
      <c r="P1628" t="s">
        <v>33</v>
      </c>
      <c r="Q1628" s="1">
        <v>0</v>
      </c>
      <c r="R1628" t="s">
        <v>1272</v>
      </c>
      <c r="S1628" t="str">
        <f t="shared" si="12"/>
        <v>ko hợp</v>
      </c>
    </row>
    <row r="1629" spans="1:19" hidden="1" x14ac:dyDescent="0.3">
      <c r="A1629" t="s">
        <v>1239</v>
      </c>
      <c r="B1629" t="s">
        <v>1240</v>
      </c>
      <c r="C1629" t="s">
        <v>1224</v>
      </c>
      <c r="D1629">
        <v>19982</v>
      </c>
      <c r="E1629" t="s">
        <v>28</v>
      </c>
      <c r="F1629" t="s">
        <v>22</v>
      </c>
      <c r="G1629" t="s">
        <v>29</v>
      </c>
      <c r="H1629" t="s">
        <v>30</v>
      </c>
      <c r="I1629" t="s">
        <v>31</v>
      </c>
      <c r="J1629">
        <v>543</v>
      </c>
      <c r="K1629" t="s">
        <v>32</v>
      </c>
      <c r="L1629">
        <v>7</v>
      </c>
      <c r="M1629">
        <v>10.0724</v>
      </c>
      <c r="P1629" t="s">
        <v>33</v>
      </c>
      <c r="Q1629" s="1">
        <v>0</v>
      </c>
      <c r="R1629" t="s">
        <v>1272</v>
      </c>
      <c r="S1629" t="str">
        <f t="shared" si="12"/>
        <v>ko hợp</v>
      </c>
    </row>
    <row r="1630" spans="1:19" hidden="1" x14ac:dyDescent="0.3">
      <c r="A1630" t="s">
        <v>1239</v>
      </c>
      <c r="B1630" t="s">
        <v>1240</v>
      </c>
      <c r="C1630" t="s">
        <v>1224</v>
      </c>
      <c r="D1630">
        <v>13237</v>
      </c>
      <c r="E1630" t="s">
        <v>137</v>
      </c>
      <c r="F1630" t="s">
        <v>60</v>
      </c>
      <c r="G1630" t="s">
        <v>138</v>
      </c>
      <c r="H1630" t="s">
        <v>139</v>
      </c>
      <c r="I1630" t="s">
        <v>31</v>
      </c>
      <c r="J1630">
        <v>1213</v>
      </c>
      <c r="K1630" t="s">
        <v>140</v>
      </c>
      <c r="L1630">
        <v>8</v>
      </c>
      <c r="M1630">
        <v>10.064</v>
      </c>
      <c r="P1630" t="s">
        <v>33</v>
      </c>
      <c r="Q1630" s="1">
        <v>1</v>
      </c>
      <c r="R1630" t="s">
        <v>1272</v>
      </c>
      <c r="S1630" t="str">
        <f t="shared" si="12"/>
        <v>Phù hợp 1 phần</v>
      </c>
    </row>
    <row r="1631" spans="1:19" hidden="1" x14ac:dyDescent="0.3">
      <c r="A1631" t="s">
        <v>1239</v>
      </c>
      <c r="B1631" t="s">
        <v>1240</v>
      </c>
      <c r="C1631" t="s">
        <v>1224</v>
      </c>
      <c r="D1631">
        <v>18831</v>
      </c>
      <c r="E1631" t="s">
        <v>841</v>
      </c>
      <c r="F1631" t="s">
        <v>842</v>
      </c>
      <c r="G1631" t="s">
        <v>41</v>
      </c>
      <c r="H1631" t="s">
        <v>843</v>
      </c>
      <c r="I1631" t="s">
        <v>31</v>
      </c>
      <c r="J1631">
        <v>565</v>
      </c>
      <c r="K1631" t="s">
        <v>844</v>
      </c>
      <c r="N1631">
        <v>8</v>
      </c>
      <c r="O1631">
        <v>0.39369999999999999</v>
      </c>
      <c r="P1631" t="s">
        <v>38</v>
      </c>
      <c r="Q1631" s="1">
        <v>0</v>
      </c>
      <c r="R1631" t="s">
        <v>1272</v>
      </c>
      <c r="S1631" t="str">
        <f t="shared" si="12"/>
        <v>ko hợp</v>
      </c>
    </row>
    <row r="1632" spans="1:19" hidden="1" x14ac:dyDescent="0.3">
      <c r="A1632" t="s">
        <v>1239</v>
      </c>
      <c r="B1632" t="s">
        <v>1240</v>
      </c>
      <c r="C1632" t="s">
        <v>1224</v>
      </c>
      <c r="D1632">
        <v>8979</v>
      </c>
      <c r="E1632" t="s">
        <v>667</v>
      </c>
      <c r="F1632" t="s">
        <v>668</v>
      </c>
      <c r="G1632" t="s">
        <v>669</v>
      </c>
      <c r="H1632" t="s">
        <v>670</v>
      </c>
      <c r="I1632" t="s">
        <v>25</v>
      </c>
      <c r="J1632">
        <v>925</v>
      </c>
      <c r="K1632" t="s">
        <v>671</v>
      </c>
      <c r="L1632">
        <v>9</v>
      </c>
      <c r="M1632">
        <v>9.9957999999999991</v>
      </c>
      <c r="P1632" t="s">
        <v>33</v>
      </c>
      <c r="Q1632" s="1">
        <v>0</v>
      </c>
      <c r="R1632" t="s">
        <v>1272</v>
      </c>
      <c r="S1632" t="str">
        <f t="shared" si="12"/>
        <v>ko hợp</v>
      </c>
    </row>
    <row r="1633" spans="1:19" hidden="1" x14ac:dyDescent="0.3">
      <c r="A1633" t="s">
        <v>1239</v>
      </c>
      <c r="B1633" t="s">
        <v>1240</v>
      </c>
      <c r="C1633" t="s">
        <v>1224</v>
      </c>
      <c r="D1633">
        <v>19400</v>
      </c>
      <c r="E1633" t="s">
        <v>805</v>
      </c>
      <c r="F1633" t="s">
        <v>60</v>
      </c>
      <c r="G1633" t="s">
        <v>806</v>
      </c>
      <c r="H1633" t="s">
        <v>807</v>
      </c>
      <c r="I1633" t="s">
        <v>31</v>
      </c>
      <c r="J1633">
        <v>534</v>
      </c>
      <c r="K1633" t="s">
        <v>808</v>
      </c>
      <c r="N1633">
        <v>9</v>
      </c>
      <c r="O1633">
        <v>0.39190000000000003</v>
      </c>
      <c r="P1633" t="s">
        <v>38</v>
      </c>
      <c r="Q1633" s="1">
        <v>2</v>
      </c>
      <c r="R1633" t="s">
        <v>1272</v>
      </c>
      <c r="S1633" t="str">
        <f t="shared" si="12"/>
        <v>ok</v>
      </c>
    </row>
    <row r="1634" spans="1:19" hidden="1" x14ac:dyDescent="0.3">
      <c r="A1634" t="s">
        <v>1239</v>
      </c>
      <c r="B1634" t="s">
        <v>1240</v>
      </c>
      <c r="C1634" t="s">
        <v>1224</v>
      </c>
      <c r="D1634">
        <v>18262</v>
      </c>
      <c r="E1634" t="s">
        <v>141</v>
      </c>
      <c r="F1634" t="s">
        <v>142</v>
      </c>
      <c r="G1634" t="s">
        <v>143</v>
      </c>
      <c r="H1634" t="s">
        <v>144</v>
      </c>
      <c r="I1634" t="s">
        <v>25</v>
      </c>
      <c r="J1634">
        <v>426</v>
      </c>
      <c r="K1634" t="s">
        <v>145</v>
      </c>
      <c r="N1634">
        <v>10</v>
      </c>
      <c r="O1634">
        <v>0.38629999999999998</v>
      </c>
      <c r="P1634" t="s">
        <v>38</v>
      </c>
      <c r="Q1634" s="1">
        <v>0</v>
      </c>
      <c r="R1634" t="s">
        <v>1272</v>
      </c>
      <c r="S1634" t="str">
        <f t="shared" si="12"/>
        <v>ko hợp</v>
      </c>
    </row>
    <row r="1635" spans="1:19" hidden="1" x14ac:dyDescent="0.3">
      <c r="A1635" t="s">
        <v>1239</v>
      </c>
      <c r="B1635" t="s">
        <v>1240</v>
      </c>
      <c r="C1635" t="s">
        <v>1224</v>
      </c>
      <c r="D1635">
        <v>20043</v>
      </c>
      <c r="E1635" t="s">
        <v>412</v>
      </c>
      <c r="F1635" t="s">
        <v>413</v>
      </c>
      <c r="G1635" t="s">
        <v>414</v>
      </c>
      <c r="H1635" t="s">
        <v>415</v>
      </c>
      <c r="I1635" t="s">
        <v>25</v>
      </c>
      <c r="J1635">
        <v>558</v>
      </c>
      <c r="K1635" t="s">
        <v>416</v>
      </c>
      <c r="L1635">
        <v>10</v>
      </c>
      <c r="M1635">
        <v>9.9174000000000007</v>
      </c>
      <c r="P1635" t="s">
        <v>33</v>
      </c>
      <c r="Q1635" s="1">
        <v>0</v>
      </c>
      <c r="R1635" t="s">
        <v>1272</v>
      </c>
      <c r="S1635" t="str">
        <f t="shared" si="12"/>
        <v>ko hợp</v>
      </c>
    </row>
    <row r="1636" spans="1:19" hidden="1" x14ac:dyDescent="0.3">
      <c r="A1636" t="s">
        <v>1241</v>
      </c>
      <c r="B1636" t="s">
        <v>1242</v>
      </c>
      <c r="C1636" t="s">
        <v>1224</v>
      </c>
      <c r="D1636">
        <v>14198</v>
      </c>
      <c r="E1636" t="s">
        <v>73</v>
      </c>
      <c r="F1636" t="s">
        <v>74</v>
      </c>
      <c r="G1636" t="s">
        <v>75</v>
      </c>
      <c r="H1636" t="s">
        <v>76</v>
      </c>
      <c r="I1636" t="s">
        <v>31</v>
      </c>
      <c r="J1636">
        <v>377</v>
      </c>
      <c r="K1636" t="s">
        <v>77</v>
      </c>
      <c r="L1636">
        <v>3</v>
      </c>
      <c r="M1636">
        <v>13.382400000000001</v>
      </c>
      <c r="N1636">
        <v>1</v>
      </c>
      <c r="O1636">
        <v>0.46850000000000003</v>
      </c>
      <c r="P1636" t="s">
        <v>27</v>
      </c>
      <c r="Q1636" s="1">
        <v>2</v>
      </c>
      <c r="R1636" t="s">
        <v>1272</v>
      </c>
      <c r="S1636" t="str">
        <f t="shared" si="12"/>
        <v>ok</v>
      </c>
    </row>
    <row r="1637" spans="1:19" hidden="1" x14ac:dyDescent="0.3">
      <c r="A1637" t="s">
        <v>1241</v>
      </c>
      <c r="B1637" t="s">
        <v>1242</v>
      </c>
      <c r="C1637" t="s">
        <v>1224</v>
      </c>
      <c r="D1637">
        <v>20293</v>
      </c>
      <c r="E1637" t="s">
        <v>419</v>
      </c>
      <c r="F1637" t="s">
        <v>420</v>
      </c>
      <c r="G1637" t="s">
        <v>421</v>
      </c>
      <c r="H1637" t="s">
        <v>422</v>
      </c>
      <c r="I1637" t="s">
        <v>25</v>
      </c>
      <c r="J1637">
        <v>2164</v>
      </c>
      <c r="K1637" t="s">
        <v>423</v>
      </c>
      <c r="L1637">
        <v>1</v>
      </c>
      <c r="M1637">
        <v>16.976900000000001</v>
      </c>
      <c r="P1637" t="s">
        <v>33</v>
      </c>
      <c r="Q1637" s="1">
        <v>2</v>
      </c>
      <c r="R1637" t="s">
        <v>1272</v>
      </c>
      <c r="S1637" t="str">
        <f t="shared" si="12"/>
        <v>ok</v>
      </c>
    </row>
    <row r="1638" spans="1:19" hidden="1" x14ac:dyDescent="0.3">
      <c r="A1638" t="s">
        <v>1241</v>
      </c>
      <c r="B1638" t="s">
        <v>1242</v>
      </c>
      <c r="C1638" t="s">
        <v>1224</v>
      </c>
      <c r="D1638">
        <v>19019</v>
      </c>
      <c r="E1638" t="s">
        <v>296</v>
      </c>
      <c r="F1638" t="s">
        <v>297</v>
      </c>
      <c r="G1638" t="s">
        <v>298</v>
      </c>
      <c r="H1638" t="s">
        <v>299</v>
      </c>
      <c r="I1638" t="s">
        <v>25</v>
      </c>
      <c r="J1638">
        <v>999</v>
      </c>
      <c r="K1638" t="s">
        <v>300</v>
      </c>
      <c r="L1638">
        <v>2</v>
      </c>
      <c r="M1638">
        <v>16.163499999999999</v>
      </c>
      <c r="N1638">
        <v>6</v>
      </c>
      <c r="O1638">
        <v>0.42420000000000002</v>
      </c>
      <c r="P1638" t="s">
        <v>27</v>
      </c>
      <c r="Q1638" s="1">
        <v>0</v>
      </c>
      <c r="R1638" t="s">
        <v>1272</v>
      </c>
      <c r="S1638" t="str">
        <f t="shared" si="12"/>
        <v>ko hợp</v>
      </c>
    </row>
    <row r="1639" spans="1:19" hidden="1" x14ac:dyDescent="0.3">
      <c r="A1639" t="s">
        <v>1241</v>
      </c>
      <c r="B1639" t="s">
        <v>1242</v>
      </c>
      <c r="C1639" t="s">
        <v>1224</v>
      </c>
      <c r="D1639">
        <v>19312</v>
      </c>
      <c r="E1639" t="s">
        <v>321</v>
      </c>
      <c r="F1639" t="s">
        <v>322</v>
      </c>
      <c r="G1639" t="s">
        <v>323</v>
      </c>
      <c r="H1639" t="s">
        <v>324</v>
      </c>
      <c r="I1639" t="s">
        <v>31</v>
      </c>
      <c r="J1639">
        <v>2453</v>
      </c>
      <c r="K1639" t="s">
        <v>325</v>
      </c>
      <c r="N1639">
        <v>2</v>
      </c>
      <c r="O1639">
        <v>0.45660000000000001</v>
      </c>
      <c r="P1639" t="s">
        <v>38</v>
      </c>
      <c r="Q1639" s="1">
        <v>0</v>
      </c>
      <c r="R1639" t="s">
        <v>1272</v>
      </c>
      <c r="S1639" t="str">
        <f t="shared" si="12"/>
        <v>ko hợp</v>
      </c>
    </row>
    <row r="1640" spans="1:19" hidden="1" x14ac:dyDescent="0.3">
      <c r="A1640" t="s">
        <v>1241</v>
      </c>
      <c r="B1640" t="s">
        <v>1242</v>
      </c>
      <c r="C1640" t="s">
        <v>1224</v>
      </c>
      <c r="D1640">
        <v>171</v>
      </c>
      <c r="E1640" t="s">
        <v>102</v>
      </c>
      <c r="F1640" t="s">
        <v>103</v>
      </c>
      <c r="G1640" t="s">
        <v>104</v>
      </c>
      <c r="H1640" t="s">
        <v>105</v>
      </c>
      <c r="I1640" t="s">
        <v>31</v>
      </c>
      <c r="J1640">
        <v>474</v>
      </c>
      <c r="K1640" t="s">
        <v>106</v>
      </c>
      <c r="N1640">
        <v>3</v>
      </c>
      <c r="O1640">
        <v>0.44059999999999999</v>
      </c>
      <c r="P1640" t="s">
        <v>38</v>
      </c>
      <c r="Q1640" s="1">
        <v>2</v>
      </c>
      <c r="R1640" t="s">
        <v>1272</v>
      </c>
      <c r="S1640" t="str">
        <f t="shared" si="12"/>
        <v>ok</v>
      </c>
    </row>
    <row r="1641" spans="1:19" hidden="1" x14ac:dyDescent="0.3">
      <c r="A1641" t="s">
        <v>1241</v>
      </c>
      <c r="B1641" t="s">
        <v>1242</v>
      </c>
      <c r="C1641" t="s">
        <v>1224</v>
      </c>
      <c r="D1641">
        <v>17792</v>
      </c>
      <c r="E1641" t="s">
        <v>229</v>
      </c>
      <c r="F1641" t="s">
        <v>230</v>
      </c>
      <c r="G1641" t="s">
        <v>231</v>
      </c>
      <c r="H1641" t="s">
        <v>232</v>
      </c>
      <c r="I1641" t="s">
        <v>31</v>
      </c>
      <c r="J1641">
        <v>564</v>
      </c>
      <c r="K1641" t="s">
        <v>233</v>
      </c>
      <c r="L1641">
        <v>4</v>
      </c>
      <c r="M1641">
        <v>13.235900000000001</v>
      </c>
      <c r="P1641" t="s">
        <v>33</v>
      </c>
      <c r="Q1641" s="1">
        <v>0</v>
      </c>
      <c r="R1641" t="s">
        <v>1272</v>
      </c>
      <c r="S1641" t="str">
        <f t="shared" si="12"/>
        <v>ko hợp</v>
      </c>
    </row>
    <row r="1642" spans="1:19" hidden="1" x14ac:dyDescent="0.3">
      <c r="A1642" t="s">
        <v>1241</v>
      </c>
      <c r="B1642" t="s">
        <v>1242</v>
      </c>
      <c r="C1642" t="s">
        <v>1224</v>
      </c>
      <c r="D1642">
        <v>18422</v>
      </c>
      <c r="E1642" t="s">
        <v>301</v>
      </c>
      <c r="F1642" t="s">
        <v>302</v>
      </c>
      <c r="G1642" t="s">
        <v>303</v>
      </c>
      <c r="H1642" t="s">
        <v>304</v>
      </c>
      <c r="I1642" t="s">
        <v>31</v>
      </c>
      <c r="J1642">
        <v>500</v>
      </c>
      <c r="K1642" t="s">
        <v>305</v>
      </c>
      <c r="N1642">
        <v>4</v>
      </c>
      <c r="O1642">
        <v>0.4365</v>
      </c>
      <c r="P1642" t="s">
        <v>38</v>
      </c>
      <c r="Q1642" s="1">
        <v>0</v>
      </c>
      <c r="R1642" t="s">
        <v>1272</v>
      </c>
      <c r="S1642" t="str">
        <f t="shared" si="12"/>
        <v>ko hợp</v>
      </c>
    </row>
    <row r="1643" spans="1:19" hidden="1" x14ac:dyDescent="0.3">
      <c r="A1643" t="s">
        <v>1241</v>
      </c>
      <c r="B1643" t="s">
        <v>1242</v>
      </c>
      <c r="C1643" t="s">
        <v>1224</v>
      </c>
      <c r="D1643">
        <v>17650</v>
      </c>
      <c r="E1643" t="s">
        <v>195</v>
      </c>
      <c r="F1643" t="s">
        <v>155</v>
      </c>
      <c r="G1643" t="s">
        <v>196</v>
      </c>
      <c r="H1643" t="s">
        <v>197</v>
      </c>
      <c r="I1643" t="s">
        <v>25</v>
      </c>
      <c r="J1643">
        <v>700</v>
      </c>
      <c r="K1643" t="s">
        <v>198</v>
      </c>
      <c r="L1643">
        <v>5</v>
      </c>
      <c r="M1643">
        <v>12.8207</v>
      </c>
      <c r="P1643" t="s">
        <v>33</v>
      </c>
      <c r="Q1643" s="1">
        <v>0</v>
      </c>
      <c r="R1643" t="s">
        <v>1272</v>
      </c>
      <c r="S1643" t="str">
        <f t="shared" si="12"/>
        <v>ko hợp</v>
      </c>
    </row>
    <row r="1644" spans="1:19" hidden="1" x14ac:dyDescent="0.3">
      <c r="A1644" t="s">
        <v>1241</v>
      </c>
      <c r="B1644" t="s">
        <v>1242</v>
      </c>
      <c r="C1644" t="s">
        <v>1224</v>
      </c>
      <c r="D1644">
        <v>18831</v>
      </c>
      <c r="E1644" t="s">
        <v>841</v>
      </c>
      <c r="F1644" t="s">
        <v>842</v>
      </c>
      <c r="G1644" t="s">
        <v>41</v>
      </c>
      <c r="H1644" t="s">
        <v>843</v>
      </c>
      <c r="I1644" t="s">
        <v>31</v>
      </c>
      <c r="J1644">
        <v>565</v>
      </c>
      <c r="K1644" t="s">
        <v>844</v>
      </c>
      <c r="N1644">
        <v>5</v>
      </c>
      <c r="O1644">
        <v>0.43</v>
      </c>
      <c r="P1644" t="s">
        <v>38</v>
      </c>
      <c r="Q1644" s="1">
        <v>0</v>
      </c>
      <c r="R1644" t="s">
        <v>1272</v>
      </c>
      <c r="S1644" t="str">
        <f t="shared" si="12"/>
        <v>ko hợp</v>
      </c>
    </row>
    <row r="1645" spans="1:19" hidden="1" x14ac:dyDescent="0.3">
      <c r="A1645" t="s">
        <v>1241</v>
      </c>
      <c r="B1645" t="s">
        <v>1242</v>
      </c>
      <c r="C1645" t="s">
        <v>1224</v>
      </c>
      <c r="D1645">
        <v>2385</v>
      </c>
      <c r="E1645" t="s">
        <v>284</v>
      </c>
      <c r="F1645" t="s">
        <v>60</v>
      </c>
      <c r="G1645" t="s">
        <v>41</v>
      </c>
      <c r="H1645" t="s">
        <v>285</v>
      </c>
      <c r="I1645" t="s">
        <v>25</v>
      </c>
      <c r="J1645">
        <v>1160</v>
      </c>
      <c r="K1645" t="s">
        <v>286</v>
      </c>
      <c r="L1645">
        <v>6</v>
      </c>
      <c r="M1645">
        <v>12.535</v>
      </c>
      <c r="P1645" t="s">
        <v>33</v>
      </c>
      <c r="Q1645" s="1">
        <v>0</v>
      </c>
      <c r="R1645" t="s">
        <v>1272</v>
      </c>
      <c r="S1645" t="str">
        <f t="shared" si="12"/>
        <v>ko hợp</v>
      </c>
    </row>
    <row r="1646" spans="1:19" hidden="1" x14ac:dyDescent="0.3">
      <c r="A1646" t="s">
        <v>1241</v>
      </c>
      <c r="B1646" t="s">
        <v>1242</v>
      </c>
      <c r="C1646" t="s">
        <v>1224</v>
      </c>
      <c r="D1646">
        <v>13237</v>
      </c>
      <c r="E1646" t="s">
        <v>137</v>
      </c>
      <c r="F1646" t="s">
        <v>60</v>
      </c>
      <c r="G1646" t="s">
        <v>138</v>
      </c>
      <c r="H1646" t="s">
        <v>139</v>
      </c>
      <c r="I1646" t="s">
        <v>31</v>
      </c>
      <c r="J1646">
        <v>1213</v>
      </c>
      <c r="K1646" t="s">
        <v>140</v>
      </c>
      <c r="L1646">
        <v>7</v>
      </c>
      <c r="M1646">
        <v>12.342499999999999</v>
      </c>
      <c r="P1646" t="s">
        <v>33</v>
      </c>
      <c r="Q1646" s="1">
        <v>1</v>
      </c>
      <c r="R1646" t="s">
        <v>1272</v>
      </c>
      <c r="S1646" t="str">
        <f t="shared" si="12"/>
        <v>Phù hợp 1 phần</v>
      </c>
    </row>
    <row r="1647" spans="1:19" hidden="1" x14ac:dyDescent="0.3">
      <c r="A1647" t="s">
        <v>1241</v>
      </c>
      <c r="B1647" t="s">
        <v>1242</v>
      </c>
      <c r="C1647" t="s">
        <v>1224</v>
      </c>
      <c r="D1647">
        <v>19613</v>
      </c>
      <c r="E1647" t="s">
        <v>836</v>
      </c>
      <c r="F1647" t="s">
        <v>837</v>
      </c>
      <c r="G1647" t="s">
        <v>838</v>
      </c>
      <c r="H1647" t="s">
        <v>839</v>
      </c>
      <c r="I1647" t="s">
        <v>31</v>
      </c>
      <c r="J1647">
        <v>265</v>
      </c>
      <c r="K1647" t="s">
        <v>840</v>
      </c>
      <c r="N1647">
        <v>7</v>
      </c>
      <c r="O1647">
        <v>0.4194</v>
      </c>
      <c r="P1647" t="s">
        <v>38</v>
      </c>
      <c r="Q1647" s="1">
        <v>0</v>
      </c>
      <c r="R1647" t="s">
        <v>1272</v>
      </c>
      <c r="S1647" t="str">
        <f t="shared" si="12"/>
        <v>ko hợp</v>
      </c>
    </row>
    <row r="1648" spans="1:19" hidden="1" x14ac:dyDescent="0.3">
      <c r="A1648" t="s">
        <v>1241</v>
      </c>
      <c r="B1648" t="s">
        <v>1242</v>
      </c>
      <c r="C1648" t="s">
        <v>1224</v>
      </c>
      <c r="D1648">
        <v>13338</v>
      </c>
      <c r="E1648" t="s">
        <v>1208</v>
      </c>
      <c r="F1648" t="s">
        <v>155</v>
      </c>
      <c r="G1648" t="s">
        <v>1209</v>
      </c>
      <c r="H1648" t="s">
        <v>1210</v>
      </c>
      <c r="I1648" t="s">
        <v>31</v>
      </c>
      <c r="J1648">
        <v>585</v>
      </c>
      <c r="K1648" t="s">
        <v>1211</v>
      </c>
      <c r="L1648">
        <v>8</v>
      </c>
      <c r="M1648">
        <v>12.293900000000001</v>
      </c>
      <c r="N1648">
        <v>9</v>
      </c>
      <c r="O1648">
        <v>0.4017</v>
      </c>
      <c r="P1648" t="s">
        <v>27</v>
      </c>
      <c r="Q1648" s="1">
        <v>2</v>
      </c>
      <c r="R1648" t="s">
        <v>1272</v>
      </c>
      <c r="S1648" t="str">
        <f t="shared" si="12"/>
        <v>ok</v>
      </c>
    </row>
    <row r="1649" spans="1:19" hidden="1" x14ac:dyDescent="0.3">
      <c r="A1649" t="s">
        <v>1241</v>
      </c>
      <c r="B1649" t="s">
        <v>1242</v>
      </c>
      <c r="C1649" t="s">
        <v>1224</v>
      </c>
      <c r="D1649">
        <v>17915</v>
      </c>
      <c r="E1649" t="s">
        <v>793</v>
      </c>
      <c r="F1649" t="s">
        <v>155</v>
      </c>
      <c r="G1649" t="s">
        <v>794</v>
      </c>
      <c r="H1649" t="s">
        <v>795</v>
      </c>
      <c r="I1649" t="s">
        <v>25</v>
      </c>
      <c r="J1649">
        <v>688</v>
      </c>
      <c r="K1649" t="s">
        <v>796</v>
      </c>
      <c r="L1649">
        <v>10</v>
      </c>
      <c r="M1649">
        <v>11.985799999999999</v>
      </c>
      <c r="N1649">
        <v>8</v>
      </c>
      <c r="O1649">
        <v>0.4138</v>
      </c>
      <c r="P1649" t="s">
        <v>27</v>
      </c>
      <c r="Q1649" s="1">
        <v>0</v>
      </c>
      <c r="R1649" t="s">
        <v>1272</v>
      </c>
      <c r="S1649" t="str">
        <f t="shared" si="12"/>
        <v>ko hợp</v>
      </c>
    </row>
    <row r="1650" spans="1:19" hidden="1" x14ac:dyDescent="0.3">
      <c r="A1650" t="s">
        <v>1241</v>
      </c>
      <c r="B1650" t="s">
        <v>1242</v>
      </c>
      <c r="C1650" t="s">
        <v>1224</v>
      </c>
      <c r="D1650">
        <v>19110</v>
      </c>
      <c r="E1650" t="s">
        <v>961</v>
      </c>
      <c r="F1650" t="s">
        <v>22</v>
      </c>
      <c r="G1650" t="s">
        <v>962</v>
      </c>
      <c r="H1650" t="s">
        <v>963</v>
      </c>
      <c r="I1650" t="s">
        <v>31</v>
      </c>
      <c r="J1650">
        <v>250</v>
      </c>
      <c r="K1650" t="s">
        <v>964</v>
      </c>
      <c r="L1650">
        <v>9</v>
      </c>
      <c r="M1650">
        <v>12.1713</v>
      </c>
      <c r="P1650" t="s">
        <v>33</v>
      </c>
      <c r="Q1650" s="1">
        <v>0</v>
      </c>
      <c r="R1650" t="s">
        <v>1272</v>
      </c>
      <c r="S1650" t="str">
        <f t="shared" si="12"/>
        <v>ko hợp</v>
      </c>
    </row>
    <row r="1651" spans="1:19" hidden="1" x14ac:dyDescent="0.3">
      <c r="A1651" t="s">
        <v>1241</v>
      </c>
      <c r="B1651" t="s">
        <v>1242</v>
      </c>
      <c r="C1651" t="s">
        <v>1224</v>
      </c>
      <c r="D1651">
        <v>13514</v>
      </c>
      <c r="E1651" t="s">
        <v>64</v>
      </c>
      <c r="F1651" t="s">
        <v>60</v>
      </c>
      <c r="G1651" t="s">
        <v>65</v>
      </c>
      <c r="H1651" t="s">
        <v>66</v>
      </c>
      <c r="I1651" t="s">
        <v>31</v>
      </c>
      <c r="J1651">
        <v>587</v>
      </c>
      <c r="K1651" t="s">
        <v>67</v>
      </c>
      <c r="N1651">
        <v>10</v>
      </c>
      <c r="O1651">
        <v>0.4007</v>
      </c>
      <c r="P1651" t="s">
        <v>38</v>
      </c>
      <c r="Q1651" s="1">
        <v>0</v>
      </c>
      <c r="R1651" t="s">
        <v>1272</v>
      </c>
      <c r="S1651" t="str">
        <f t="shared" si="12"/>
        <v>ko hợp</v>
      </c>
    </row>
    <row r="1652" spans="1:19" hidden="1" x14ac:dyDescent="0.3">
      <c r="A1652" t="s">
        <v>1243</v>
      </c>
      <c r="B1652" t="s">
        <v>1244</v>
      </c>
      <c r="C1652" t="s">
        <v>1224</v>
      </c>
      <c r="D1652">
        <v>16395</v>
      </c>
      <c r="E1652" t="s">
        <v>657</v>
      </c>
      <c r="F1652" t="s">
        <v>155</v>
      </c>
      <c r="G1652" t="s">
        <v>658</v>
      </c>
      <c r="H1652" t="s">
        <v>659</v>
      </c>
      <c r="I1652" t="s">
        <v>25</v>
      </c>
      <c r="J1652">
        <v>1358</v>
      </c>
      <c r="K1652" t="s">
        <v>660</v>
      </c>
      <c r="L1652">
        <v>2</v>
      </c>
      <c r="M1652">
        <v>9.8660999999999994</v>
      </c>
      <c r="N1652">
        <v>1</v>
      </c>
      <c r="O1652">
        <v>0.46039999999999998</v>
      </c>
      <c r="P1652" t="s">
        <v>27</v>
      </c>
      <c r="Q1652" s="1">
        <v>2</v>
      </c>
      <c r="R1652" t="s">
        <v>1272</v>
      </c>
      <c r="S1652" t="str">
        <f t="shared" si="12"/>
        <v>ok</v>
      </c>
    </row>
    <row r="1653" spans="1:19" hidden="1" x14ac:dyDescent="0.3">
      <c r="A1653" t="s">
        <v>1243</v>
      </c>
      <c r="B1653" t="s">
        <v>1244</v>
      </c>
      <c r="C1653" t="s">
        <v>1224</v>
      </c>
      <c r="D1653">
        <v>20185</v>
      </c>
      <c r="E1653" t="s">
        <v>885</v>
      </c>
      <c r="F1653" t="s">
        <v>842</v>
      </c>
      <c r="G1653" t="s">
        <v>886</v>
      </c>
      <c r="H1653" t="s">
        <v>887</v>
      </c>
      <c r="I1653" t="s">
        <v>31</v>
      </c>
      <c r="J1653">
        <v>674</v>
      </c>
      <c r="K1653" t="s">
        <v>888</v>
      </c>
      <c r="L1653">
        <v>1</v>
      </c>
      <c r="M1653">
        <v>10.372299999999999</v>
      </c>
      <c r="N1653">
        <v>10</v>
      </c>
      <c r="O1653">
        <v>0.40379999999999999</v>
      </c>
      <c r="P1653" t="s">
        <v>27</v>
      </c>
      <c r="Q1653" s="1">
        <v>0</v>
      </c>
      <c r="R1653" t="s">
        <v>1272</v>
      </c>
      <c r="S1653" t="str">
        <f t="shared" si="12"/>
        <v>ko hợp</v>
      </c>
    </row>
    <row r="1654" spans="1:19" hidden="1" x14ac:dyDescent="0.3">
      <c r="A1654" t="s">
        <v>1243</v>
      </c>
      <c r="B1654" t="s">
        <v>1244</v>
      </c>
      <c r="C1654" t="s">
        <v>1224</v>
      </c>
      <c r="D1654">
        <v>6637</v>
      </c>
      <c r="E1654" t="s">
        <v>735</v>
      </c>
      <c r="F1654" t="s">
        <v>60</v>
      </c>
      <c r="G1654" t="s">
        <v>736</v>
      </c>
      <c r="H1654" t="s">
        <v>737</v>
      </c>
      <c r="I1654" t="s">
        <v>25</v>
      </c>
      <c r="J1654">
        <v>1382</v>
      </c>
      <c r="K1654" t="s">
        <v>738</v>
      </c>
      <c r="N1654">
        <v>2</v>
      </c>
      <c r="O1654">
        <v>0.4602</v>
      </c>
      <c r="P1654" t="s">
        <v>38</v>
      </c>
      <c r="Q1654" s="1">
        <v>0</v>
      </c>
      <c r="R1654" t="s">
        <v>1272</v>
      </c>
      <c r="S1654" t="str">
        <f t="shared" si="12"/>
        <v>ko hợp</v>
      </c>
    </row>
    <row r="1655" spans="1:19" hidden="1" x14ac:dyDescent="0.3">
      <c r="A1655" t="s">
        <v>1243</v>
      </c>
      <c r="B1655" t="s">
        <v>1244</v>
      </c>
      <c r="C1655" t="s">
        <v>1224</v>
      </c>
      <c r="D1655">
        <v>11481</v>
      </c>
      <c r="E1655" t="s">
        <v>1014</v>
      </c>
      <c r="F1655" t="s">
        <v>60</v>
      </c>
      <c r="G1655" t="s">
        <v>318</v>
      </c>
      <c r="H1655" t="s">
        <v>1015</v>
      </c>
      <c r="I1655" t="s">
        <v>352</v>
      </c>
      <c r="J1655">
        <v>737</v>
      </c>
      <c r="K1655" t="s">
        <v>1016</v>
      </c>
      <c r="L1655">
        <v>3</v>
      </c>
      <c r="M1655">
        <v>9.2780000000000005</v>
      </c>
      <c r="N1655">
        <v>5</v>
      </c>
      <c r="O1655">
        <v>0.42920000000000003</v>
      </c>
      <c r="P1655" t="s">
        <v>27</v>
      </c>
      <c r="Q1655" s="1">
        <v>0</v>
      </c>
      <c r="R1655" t="s">
        <v>1272</v>
      </c>
      <c r="S1655" t="str">
        <f t="shared" si="12"/>
        <v>ko hợp</v>
      </c>
    </row>
    <row r="1656" spans="1:19" hidden="1" x14ac:dyDescent="0.3">
      <c r="A1656" t="s">
        <v>1243</v>
      </c>
      <c r="B1656" t="s">
        <v>1244</v>
      </c>
      <c r="C1656" t="s">
        <v>1224</v>
      </c>
      <c r="D1656">
        <v>19312</v>
      </c>
      <c r="E1656" t="s">
        <v>321</v>
      </c>
      <c r="F1656" t="s">
        <v>322</v>
      </c>
      <c r="G1656" t="s">
        <v>323</v>
      </c>
      <c r="H1656" t="s">
        <v>324</v>
      </c>
      <c r="I1656" t="s">
        <v>31</v>
      </c>
      <c r="J1656">
        <v>2453</v>
      </c>
      <c r="K1656" t="s">
        <v>325</v>
      </c>
      <c r="N1656">
        <v>3</v>
      </c>
      <c r="O1656">
        <v>0.4471</v>
      </c>
      <c r="P1656" t="s">
        <v>38</v>
      </c>
      <c r="Q1656" s="1">
        <v>0</v>
      </c>
      <c r="R1656" t="s">
        <v>1272</v>
      </c>
      <c r="S1656" t="str">
        <f t="shared" si="12"/>
        <v>ko hợp</v>
      </c>
    </row>
    <row r="1657" spans="1:19" hidden="1" x14ac:dyDescent="0.3">
      <c r="A1657" t="s">
        <v>1243</v>
      </c>
      <c r="B1657" t="s">
        <v>1244</v>
      </c>
      <c r="C1657" t="s">
        <v>1224</v>
      </c>
      <c r="D1657">
        <v>18422</v>
      </c>
      <c r="E1657" t="s">
        <v>301</v>
      </c>
      <c r="F1657" t="s">
        <v>302</v>
      </c>
      <c r="G1657" t="s">
        <v>303</v>
      </c>
      <c r="H1657" t="s">
        <v>304</v>
      </c>
      <c r="I1657" t="s">
        <v>31</v>
      </c>
      <c r="J1657">
        <v>500</v>
      </c>
      <c r="K1657" t="s">
        <v>305</v>
      </c>
      <c r="N1657">
        <v>4</v>
      </c>
      <c r="O1657">
        <v>0.44140000000000001</v>
      </c>
      <c r="P1657" t="s">
        <v>38</v>
      </c>
      <c r="Q1657" s="1">
        <v>0</v>
      </c>
      <c r="R1657" t="s">
        <v>1272</v>
      </c>
      <c r="S1657" t="str">
        <f t="shared" si="12"/>
        <v>ko hợp</v>
      </c>
    </row>
    <row r="1658" spans="1:19" hidden="1" x14ac:dyDescent="0.3">
      <c r="A1658" t="s">
        <v>1243</v>
      </c>
      <c r="B1658" t="s">
        <v>1244</v>
      </c>
      <c r="C1658" t="s">
        <v>1224</v>
      </c>
      <c r="D1658">
        <v>20789</v>
      </c>
      <c r="E1658" t="s">
        <v>39</v>
      </c>
      <c r="F1658" t="s">
        <v>40</v>
      </c>
      <c r="G1658" t="s">
        <v>41</v>
      </c>
      <c r="H1658" t="s">
        <v>42</v>
      </c>
      <c r="I1658" t="s">
        <v>25</v>
      </c>
      <c r="J1658">
        <v>810</v>
      </c>
      <c r="K1658" t="s">
        <v>43</v>
      </c>
      <c r="L1658">
        <v>4</v>
      </c>
      <c r="M1658">
        <v>8.2141000000000002</v>
      </c>
      <c r="P1658" t="s">
        <v>33</v>
      </c>
      <c r="Q1658" s="1">
        <v>2</v>
      </c>
      <c r="R1658" t="s">
        <v>1272</v>
      </c>
      <c r="S1658" t="str">
        <f t="shared" si="12"/>
        <v>ok</v>
      </c>
    </row>
    <row r="1659" spans="1:19" hidden="1" x14ac:dyDescent="0.3">
      <c r="A1659" t="s">
        <v>1243</v>
      </c>
      <c r="B1659" t="s">
        <v>1244</v>
      </c>
      <c r="C1659" t="s">
        <v>1224</v>
      </c>
      <c r="D1659">
        <v>19613</v>
      </c>
      <c r="E1659" t="s">
        <v>836</v>
      </c>
      <c r="F1659" t="s">
        <v>837</v>
      </c>
      <c r="G1659" t="s">
        <v>838</v>
      </c>
      <c r="H1659" t="s">
        <v>839</v>
      </c>
      <c r="I1659" t="s">
        <v>31</v>
      </c>
      <c r="J1659">
        <v>265</v>
      </c>
      <c r="K1659" t="s">
        <v>840</v>
      </c>
      <c r="L1659">
        <v>5</v>
      </c>
      <c r="M1659">
        <v>7.9984000000000002</v>
      </c>
      <c r="P1659" t="s">
        <v>33</v>
      </c>
      <c r="Q1659" s="1">
        <v>0</v>
      </c>
      <c r="R1659" t="s">
        <v>1272</v>
      </c>
      <c r="S1659" t="str">
        <f t="shared" si="12"/>
        <v>ko hợp</v>
      </c>
    </row>
    <row r="1660" spans="1:19" hidden="1" x14ac:dyDescent="0.3">
      <c r="A1660" t="s">
        <v>1243</v>
      </c>
      <c r="B1660" t="s">
        <v>1244</v>
      </c>
      <c r="C1660" t="s">
        <v>1224</v>
      </c>
      <c r="D1660">
        <v>13535</v>
      </c>
      <c r="E1660" t="s">
        <v>771</v>
      </c>
      <c r="F1660" t="s">
        <v>60</v>
      </c>
      <c r="G1660" t="s">
        <v>772</v>
      </c>
      <c r="H1660" t="s">
        <v>773</v>
      </c>
      <c r="I1660" t="s">
        <v>31</v>
      </c>
      <c r="J1660">
        <v>234</v>
      </c>
      <c r="K1660" t="s">
        <v>774</v>
      </c>
      <c r="N1660">
        <v>6</v>
      </c>
      <c r="O1660">
        <v>0.41880000000000001</v>
      </c>
      <c r="P1660" t="s">
        <v>38</v>
      </c>
      <c r="Q1660" s="1">
        <v>0</v>
      </c>
      <c r="R1660" t="s">
        <v>1272</v>
      </c>
      <c r="S1660" t="str">
        <f t="shared" si="12"/>
        <v>ko hợp</v>
      </c>
    </row>
    <row r="1661" spans="1:19" hidden="1" x14ac:dyDescent="0.3">
      <c r="A1661" t="s">
        <v>1243</v>
      </c>
      <c r="B1661" t="s">
        <v>1244</v>
      </c>
      <c r="C1661" t="s">
        <v>1224</v>
      </c>
      <c r="D1661">
        <v>13817</v>
      </c>
      <c r="E1661" t="s">
        <v>1153</v>
      </c>
      <c r="F1661" t="s">
        <v>22</v>
      </c>
      <c r="G1661" t="s">
        <v>1154</v>
      </c>
      <c r="H1661" t="s">
        <v>1155</v>
      </c>
      <c r="I1661" t="s">
        <v>31</v>
      </c>
      <c r="J1661">
        <v>1533</v>
      </c>
      <c r="K1661" t="s">
        <v>1156</v>
      </c>
      <c r="L1661">
        <v>6</v>
      </c>
      <c r="M1661">
        <v>7.9467999999999996</v>
      </c>
      <c r="P1661" t="s">
        <v>33</v>
      </c>
      <c r="Q1661" s="1">
        <v>2</v>
      </c>
      <c r="R1661" t="s">
        <v>1272</v>
      </c>
      <c r="S1661" t="str">
        <f t="shared" si="12"/>
        <v>ok</v>
      </c>
    </row>
    <row r="1662" spans="1:19" hidden="1" x14ac:dyDescent="0.3">
      <c r="A1662" t="s">
        <v>1243</v>
      </c>
      <c r="B1662" t="s">
        <v>1244</v>
      </c>
      <c r="C1662" t="s">
        <v>1224</v>
      </c>
      <c r="D1662">
        <v>18831</v>
      </c>
      <c r="E1662" t="s">
        <v>841</v>
      </c>
      <c r="F1662" t="s">
        <v>842</v>
      </c>
      <c r="G1662" t="s">
        <v>41</v>
      </c>
      <c r="H1662" t="s">
        <v>843</v>
      </c>
      <c r="I1662" t="s">
        <v>31</v>
      </c>
      <c r="J1662">
        <v>565</v>
      </c>
      <c r="K1662" t="s">
        <v>844</v>
      </c>
      <c r="N1662">
        <v>7</v>
      </c>
      <c r="O1662">
        <v>0.41589999999999999</v>
      </c>
      <c r="P1662" t="s">
        <v>38</v>
      </c>
      <c r="Q1662" s="1">
        <v>0</v>
      </c>
      <c r="R1662" t="s">
        <v>1272</v>
      </c>
      <c r="S1662" t="str">
        <f t="shared" si="12"/>
        <v>ko hợp</v>
      </c>
    </row>
    <row r="1663" spans="1:19" hidden="1" x14ac:dyDescent="0.3">
      <c r="A1663" t="s">
        <v>1243</v>
      </c>
      <c r="B1663" t="s">
        <v>1244</v>
      </c>
      <c r="C1663" t="s">
        <v>1224</v>
      </c>
      <c r="D1663">
        <v>19735</v>
      </c>
      <c r="E1663" t="s">
        <v>827</v>
      </c>
      <c r="F1663" t="s">
        <v>828</v>
      </c>
      <c r="G1663" t="s">
        <v>829</v>
      </c>
      <c r="H1663" t="s">
        <v>830</v>
      </c>
      <c r="I1663" t="s">
        <v>25</v>
      </c>
      <c r="J1663">
        <v>559</v>
      </c>
      <c r="K1663" t="s">
        <v>831</v>
      </c>
      <c r="L1663">
        <v>7</v>
      </c>
      <c r="M1663">
        <v>7.8400999999999996</v>
      </c>
      <c r="P1663" t="s">
        <v>33</v>
      </c>
      <c r="Q1663" s="1">
        <v>0</v>
      </c>
      <c r="R1663" t="s">
        <v>1272</v>
      </c>
      <c r="S1663" t="str">
        <f t="shared" si="12"/>
        <v>ko hợp</v>
      </c>
    </row>
    <row r="1664" spans="1:19" hidden="1" x14ac:dyDescent="0.3">
      <c r="A1664" t="s">
        <v>1243</v>
      </c>
      <c r="B1664" t="s">
        <v>1244</v>
      </c>
      <c r="C1664" t="s">
        <v>1224</v>
      </c>
      <c r="D1664">
        <v>17349</v>
      </c>
      <c r="E1664" t="s">
        <v>234</v>
      </c>
      <c r="F1664" t="s">
        <v>155</v>
      </c>
      <c r="G1664" t="s">
        <v>235</v>
      </c>
      <c r="H1664" t="s">
        <v>236</v>
      </c>
      <c r="I1664" t="s">
        <v>25</v>
      </c>
      <c r="J1664">
        <v>281</v>
      </c>
      <c r="K1664" t="s">
        <v>237</v>
      </c>
      <c r="L1664">
        <v>8</v>
      </c>
      <c r="M1664">
        <v>7.5867000000000004</v>
      </c>
      <c r="P1664" t="s">
        <v>33</v>
      </c>
      <c r="Q1664" s="1">
        <v>0</v>
      </c>
      <c r="R1664" t="s">
        <v>1272</v>
      </c>
      <c r="S1664" t="str">
        <f t="shared" si="12"/>
        <v>ko hợp</v>
      </c>
    </row>
    <row r="1665" spans="1:19" hidden="1" x14ac:dyDescent="0.3">
      <c r="A1665" t="s">
        <v>1243</v>
      </c>
      <c r="B1665" t="s">
        <v>1244</v>
      </c>
      <c r="C1665" t="s">
        <v>1224</v>
      </c>
      <c r="D1665">
        <v>19992</v>
      </c>
      <c r="E1665" t="s">
        <v>408</v>
      </c>
      <c r="F1665" t="s">
        <v>22</v>
      </c>
      <c r="G1665" t="s">
        <v>409</v>
      </c>
      <c r="H1665" t="s">
        <v>410</v>
      </c>
      <c r="I1665" t="s">
        <v>31</v>
      </c>
      <c r="J1665">
        <v>553</v>
      </c>
      <c r="K1665" t="s">
        <v>411</v>
      </c>
      <c r="N1665">
        <v>8</v>
      </c>
      <c r="O1665">
        <v>0.40960000000000002</v>
      </c>
      <c r="P1665" t="s">
        <v>38</v>
      </c>
      <c r="Q1665" s="1">
        <v>0</v>
      </c>
      <c r="R1665" t="s">
        <v>1272</v>
      </c>
      <c r="S1665" t="str">
        <f t="shared" si="12"/>
        <v>ko hợp</v>
      </c>
    </row>
    <row r="1666" spans="1:19" hidden="1" x14ac:dyDescent="0.3">
      <c r="A1666" t="s">
        <v>1243</v>
      </c>
      <c r="B1666" t="s">
        <v>1244</v>
      </c>
      <c r="C1666" t="s">
        <v>1224</v>
      </c>
      <c r="D1666">
        <v>360</v>
      </c>
      <c r="E1666" t="s">
        <v>1165</v>
      </c>
      <c r="F1666" t="s">
        <v>22</v>
      </c>
      <c r="G1666" t="s">
        <v>1166</v>
      </c>
      <c r="H1666" t="s">
        <v>1167</v>
      </c>
      <c r="I1666" t="s">
        <v>25</v>
      </c>
      <c r="J1666">
        <v>356</v>
      </c>
      <c r="K1666" t="s">
        <v>1168</v>
      </c>
      <c r="N1666">
        <v>9</v>
      </c>
      <c r="O1666">
        <v>0.40439999999999998</v>
      </c>
      <c r="P1666" t="s">
        <v>38</v>
      </c>
      <c r="Q1666" s="1">
        <v>0</v>
      </c>
      <c r="R1666" t="s">
        <v>1272</v>
      </c>
      <c r="S1666" t="str">
        <f t="shared" si="12"/>
        <v>ko hợp</v>
      </c>
    </row>
    <row r="1667" spans="1:19" hidden="1" x14ac:dyDescent="0.3">
      <c r="A1667" t="s">
        <v>1243</v>
      </c>
      <c r="B1667" t="s">
        <v>1244</v>
      </c>
      <c r="C1667" t="s">
        <v>1224</v>
      </c>
      <c r="D1667">
        <v>17133</v>
      </c>
      <c r="E1667" t="s">
        <v>306</v>
      </c>
      <c r="F1667" t="s">
        <v>155</v>
      </c>
      <c r="G1667" t="s">
        <v>187</v>
      </c>
      <c r="H1667" t="s">
        <v>307</v>
      </c>
      <c r="I1667" t="s">
        <v>31</v>
      </c>
      <c r="J1667">
        <v>469</v>
      </c>
      <c r="K1667" t="s">
        <v>308</v>
      </c>
      <c r="L1667">
        <v>9</v>
      </c>
      <c r="M1667">
        <v>7.3978000000000002</v>
      </c>
      <c r="P1667" t="s">
        <v>33</v>
      </c>
      <c r="Q1667" s="1">
        <v>0</v>
      </c>
      <c r="R1667" t="s">
        <v>1272</v>
      </c>
      <c r="S1667" t="str">
        <f t="shared" si="12"/>
        <v>ko hợp</v>
      </c>
    </row>
    <row r="1668" spans="1:19" hidden="1" x14ac:dyDescent="0.3">
      <c r="A1668" t="s">
        <v>1243</v>
      </c>
      <c r="B1668" t="s">
        <v>1244</v>
      </c>
      <c r="C1668" t="s">
        <v>1224</v>
      </c>
      <c r="D1668">
        <v>19019</v>
      </c>
      <c r="E1668" t="s">
        <v>296</v>
      </c>
      <c r="F1668" t="s">
        <v>297</v>
      </c>
      <c r="G1668" t="s">
        <v>298</v>
      </c>
      <c r="H1668" t="s">
        <v>299</v>
      </c>
      <c r="I1668" t="s">
        <v>25</v>
      </c>
      <c r="J1668">
        <v>999</v>
      </c>
      <c r="K1668" t="s">
        <v>300</v>
      </c>
      <c r="L1668">
        <v>10</v>
      </c>
      <c r="M1668">
        <v>7.3832000000000004</v>
      </c>
      <c r="P1668" t="s">
        <v>33</v>
      </c>
      <c r="Q1668" s="1">
        <v>0</v>
      </c>
      <c r="R1668" t="s">
        <v>1272</v>
      </c>
      <c r="S1668" t="str">
        <f t="shared" si="12"/>
        <v>ko hợp</v>
      </c>
    </row>
    <row r="1669" spans="1:19" hidden="1" x14ac:dyDescent="0.3">
      <c r="A1669" t="s">
        <v>1245</v>
      </c>
      <c r="B1669" t="s">
        <v>1246</v>
      </c>
      <c r="C1669" t="s">
        <v>1224</v>
      </c>
      <c r="D1669">
        <v>19312</v>
      </c>
      <c r="E1669" t="s">
        <v>321</v>
      </c>
      <c r="F1669" t="s">
        <v>322</v>
      </c>
      <c r="G1669" t="s">
        <v>323</v>
      </c>
      <c r="H1669" t="s">
        <v>324</v>
      </c>
      <c r="I1669" t="s">
        <v>31</v>
      </c>
      <c r="J1669">
        <v>2453</v>
      </c>
      <c r="K1669" t="s">
        <v>325</v>
      </c>
      <c r="L1669">
        <v>9</v>
      </c>
      <c r="M1669">
        <v>9.6298999999999992</v>
      </c>
      <c r="N1669">
        <v>1</v>
      </c>
      <c r="O1669">
        <v>0.45090000000000002</v>
      </c>
      <c r="P1669" t="s">
        <v>27</v>
      </c>
      <c r="Q1669" s="1">
        <v>0</v>
      </c>
      <c r="R1669" t="s">
        <v>1272</v>
      </c>
      <c r="S1669" t="str">
        <f t="shared" si="12"/>
        <v>ko hợp</v>
      </c>
    </row>
    <row r="1670" spans="1:19" hidden="1" x14ac:dyDescent="0.3">
      <c r="A1670" t="s">
        <v>1245</v>
      </c>
      <c r="B1670" t="s">
        <v>1246</v>
      </c>
      <c r="C1670" t="s">
        <v>1224</v>
      </c>
      <c r="D1670">
        <v>19710</v>
      </c>
      <c r="E1670" t="s">
        <v>199</v>
      </c>
      <c r="F1670" t="s">
        <v>200</v>
      </c>
      <c r="G1670" t="s">
        <v>201</v>
      </c>
      <c r="H1670" t="s">
        <v>202</v>
      </c>
      <c r="I1670" t="s">
        <v>31</v>
      </c>
      <c r="J1670">
        <v>262</v>
      </c>
      <c r="K1670" t="s">
        <v>203</v>
      </c>
      <c r="L1670">
        <v>1</v>
      </c>
      <c r="M1670">
        <v>15.9886</v>
      </c>
      <c r="N1670">
        <v>3</v>
      </c>
      <c r="O1670">
        <v>0.41810000000000003</v>
      </c>
      <c r="P1670" t="s">
        <v>27</v>
      </c>
      <c r="Q1670" s="1">
        <v>0</v>
      </c>
      <c r="R1670" t="s">
        <v>1272</v>
      </c>
      <c r="S1670" t="str">
        <f t="shared" si="12"/>
        <v>ko hợp</v>
      </c>
    </row>
    <row r="1671" spans="1:19" hidden="1" x14ac:dyDescent="0.3">
      <c r="A1671" t="s">
        <v>1245</v>
      </c>
      <c r="B1671" t="s">
        <v>1246</v>
      </c>
      <c r="C1671" t="s">
        <v>1224</v>
      </c>
      <c r="D1671">
        <v>18831</v>
      </c>
      <c r="E1671" t="s">
        <v>841</v>
      </c>
      <c r="F1671" t="s">
        <v>842</v>
      </c>
      <c r="G1671" t="s">
        <v>41</v>
      </c>
      <c r="H1671" t="s">
        <v>843</v>
      </c>
      <c r="I1671" t="s">
        <v>31</v>
      </c>
      <c r="J1671">
        <v>565</v>
      </c>
      <c r="K1671" t="s">
        <v>844</v>
      </c>
      <c r="N1671">
        <v>2</v>
      </c>
      <c r="O1671">
        <v>0.43340000000000001</v>
      </c>
      <c r="P1671" t="s">
        <v>38</v>
      </c>
      <c r="Q1671" s="1">
        <v>0</v>
      </c>
      <c r="R1671" t="s">
        <v>1272</v>
      </c>
      <c r="S1671" t="str">
        <f t="shared" si="12"/>
        <v>ko hợp</v>
      </c>
    </row>
    <row r="1672" spans="1:19" hidden="1" x14ac:dyDescent="0.3">
      <c r="A1672" t="s">
        <v>1245</v>
      </c>
      <c r="B1672" t="s">
        <v>1246</v>
      </c>
      <c r="C1672" t="s">
        <v>1224</v>
      </c>
      <c r="D1672">
        <v>19982</v>
      </c>
      <c r="E1672" t="s">
        <v>28</v>
      </c>
      <c r="F1672" t="s">
        <v>22</v>
      </c>
      <c r="G1672" t="s">
        <v>29</v>
      </c>
      <c r="H1672" t="s">
        <v>30</v>
      </c>
      <c r="I1672" t="s">
        <v>31</v>
      </c>
      <c r="J1672">
        <v>543</v>
      </c>
      <c r="K1672" t="s">
        <v>32</v>
      </c>
      <c r="L1672">
        <v>2</v>
      </c>
      <c r="M1672">
        <v>12.7273</v>
      </c>
      <c r="P1672" t="s">
        <v>33</v>
      </c>
      <c r="Q1672" s="1">
        <v>0</v>
      </c>
      <c r="R1672" t="s">
        <v>1272</v>
      </c>
      <c r="S1672" t="str">
        <f t="shared" si="12"/>
        <v>ko hợp</v>
      </c>
    </row>
    <row r="1673" spans="1:19" hidden="1" x14ac:dyDescent="0.3">
      <c r="A1673" t="s">
        <v>1245</v>
      </c>
      <c r="B1673" t="s">
        <v>1246</v>
      </c>
      <c r="C1673" t="s">
        <v>1224</v>
      </c>
      <c r="D1673">
        <v>13681</v>
      </c>
      <c r="E1673" t="s">
        <v>112</v>
      </c>
      <c r="F1673" t="s">
        <v>74</v>
      </c>
      <c r="G1673" t="s">
        <v>113</v>
      </c>
      <c r="H1673" t="s">
        <v>114</v>
      </c>
      <c r="I1673" t="s">
        <v>31</v>
      </c>
      <c r="J1673">
        <v>580</v>
      </c>
      <c r="K1673" t="s">
        <v>115</v>
      </c>
      <c r="L1673">
        <v>3</v>
      </c>
      <c r="M1673">
        <v>10.3279</v>
      </c>
      <c r="P1673" t="s">
        <v>33</v>
      </c>
      <c r="Q1673" s="1">
        <v>2</v>
      </c>
      <c r="R1673" t="s">
        <v>1272</v>
      </c>
      <c r="S1673" t="str">
        <f t="shared" si="12"/>
        <v>ok</v>
      </c>
    </row>
    <row r="1674" spans="1:19" hidden="1" x14ac:dyDescent="0.3">
      <c r="A1674" t="s">
        <v>1245</v>
      </c>
      <c r="B1674" t="s">
        <v>1246</v>
      </c>
      <c r="C1674" t="s">
        <v>1224</v>
      </c>
      <c r="D1674">
        <v>10730</v>
      </c>
      <c r="E1674" t="s">
        <v>317</v>
      </c>
      <c r="F1674" t="s">
        <v>60</v>
      </c>
      <c r="G1674" t="s">
        <v>318</v>
      </c>
      <c r="H1674" t="s">
        <v>319</v>
      </c>
      <c r="I1674" t="s">
        <v>25</v>
      </c>
      <c r="J1674">
        <v>800</v>
      </c>
      <c r="K1674" t="s">
        <v>320</v>
      </c>
      <c r="L1674">
        <v>4</v>
      </c>
      <c r="M1674">
        <v>10.3103</v>
      </c>
      <c r="P1674" t="s">
        <v>33</v>
      </c>
      <c r="Q1674" s="1">
        <v>2</v>
      </c>
      <c r="R1674" t="s">
        <v>1272</v>
      </c>
      <c r="S1674" t="str">
        <f t="shared" si="12"/>
        <v>ok</v>
      </c>
    </row>
    <row r="1675" spans="1:19" hidden="1" x14ac:dyDescent="0.3">
      <c r="A1675" t="s">
        <v>1245</v>
      </c>
      <c r="B1675" t="s">
        <v>1246</v>
      </c>
      <c r="C1675" t="s">
        <v>1224</v>
      </c>
      <c r="D1675">
        <v>16290</v>
      </c>
      <c r="E1675" t="s">
        <v>799</v>
      </c>
      <c r="F1675" t="s">
        <v>74</v>
      </c>
      <c r="G1675" t="s">
        <v>800</v>
      </c>
      <c r="H1675" t="s">
        <v>801</v>
      </c>
      <c r="I1675" t="s">
        <v>25</v>
      </c>
      <c r="J1675">
        <v>511</v>
      </c>
      <c r="K1675" t="s">
        <v>802</v>
      </c>
      <c r="N1675">
        <v>4</v>
      </c>
      <c r="O1675">
        <v>0.41299999999999998</v>
      </c>
      <c r="P1675" t="s">
        <v>38</v>
      </c>
      <c r="Q1675" s="1">
        <v>2</v>
      </c>
      <c r="R1675" t="s">
        <v>1272</v>
      </c>
      <c r="S1675" t="str">
        <f t="shared" si="12"/>
        <v>ok</v>
      </c>
    </row>
    <row r="1676" spans="1:19" hidden="1" x14ac:dyDescent="0.3">
      <c r="A1676" t="s">
        <v>1245</v>
      </c>
      <c r="B1676" t="s">
        <v>1246</v>
      </c>
      <c r="C1676" t="s">
        <v>1224</v>
      </c>
      <c r="D1676">
        <v>171</v>
      </c>
      <c r="E1676" t="s">
        <v>102</v>
      </c>
      <c r="F1676" t="s">
        <v>103</v>
      </c>
      <c r="G1676" t="s">
        <v>104</v>
      </c>
      <c r="H1676" t="s">
        <v>105</v>
      </c>
      <c r="I1676" t="s">
        <v>31</v>
      </c>
      <c r="J1676">
        <v>474</v>
      </c>
      <c r="K1676" t="s">
        <v>106</v>
      </c>
      <c r="N1676">
        <v>5</v>
      </c>
      <c r="O1676">
        <v>0.40510000000000002</v>
      </c>
      <c r="P1676" t="s">
        <v>38</v>
      </c>
      <c r="Q1676" s="1">
        <v>0</v>
      </c>
      <c r="R1676" t="s">
        <v>1272</v>
      </c>
      <c r="S1676" t="str">
        <f t="shared" si="12"/>
        <v>ko hợp</v>
      </c>
    </row>
    <row r="1677" spans="1:19" hidden="1" x14ac:dyDescent="0.3">
      <c r="A1677" t="s">
        <v>1245</v>
      </c>
      <c r="B1677" t="s">
        <v>1246</v>
      </c>
      <c r="C1677" t="s">
        <v>1224</v>
      </c>
      <c r="D1677">
        <v>13532</v>
      </c>
      <c r="E1677" t="s">
        <v>967</v>
      </c>
      <c r="F1677" t="s">
        <v>288</v>
      </c>
      <c r="G1677" t="s">
        <v>968</v>
      </c>
      <c r="H1677" t="s">
        <v>969</v>
      </c>
      <c r="I1677" t="s">
        <v>31</v>
      </c>
      <c r="J1677">
        <v>622</v>
      </c>
      <c r="K1677" t="s">
        <v>970</v>
      </c>
      <c r="L1677">
        <v>5</v>
      </c>
      <c r="M1677">
        <v>10.243399999999999</v>
      </c>
      <c r="P1677" t="s">
        <v>33</v>
      </c>
      <c r="Q1677" s="1">
        <v>0</v>
      </c>
      <c r="R1677" t="s">
        <v>1272</v>
      </c>
      <c r="S1677" t="str">
        <f t="shared" ref="S1677:S1740" si="13">IF(Q1677=2,"ok",IF(Q1677=1,"Phù hợp 1 phần", "ko hợp"))</f>
        <v>ko hợp</v>
      </c>
    </row>
    <row r="1678" spans="1:19" hidden="1" x14ac:dyDescent="0.3">
      <c r="A1678" t="s">
        <v>1245</v>
      </c>
      <c r="B1678" t="s">
        <v>1246</v>
      </c>
      <c r="C1678" t="s">
        <v>1224</v>
      </c>
      <c r="D1678">
        <v>16145</v>
      </c>
      <c r="E1678" t="s">
        <v>182</v>
      </c>
      <c r="F1678" t="s">
        <v>155</v>
      </c>
      <c r="G1678" t="s">
        <v>183</v>
      </c>
      <c r="H1678" t="s">
        <v>184</v>
      </c>
      <c r="I1678" t="s">
        <v>31</v>
      </c>
      <c r="J1678">
        <v>2447</v>
      </c>
      <c r="K1678" t="s">
        <v>185</v>
      </c>
      <c r="L1678">
        <v>6</v>
      </c>
      <c r="M1678">
        <v>10.184200000000001</v>
      </c>
      <c r="P1678" t="s">
        <v>33</v>
      </c>
      <c r="Q1678" s="1">
        <v>0</v>
      </c>
      <c r="R1678" t="s">
        <v>1272</v>
      </c>
      <c r="S1678" t="str">
        <f t="shared" si="13"/>
        <v>ko hợp</v>
      </c>
    </row>
    <row r="1679" spans="1:19" hidden="1" x14ac:dyDescent="0.3">
      <c r="A1679" t="s">
        <v>1245</v>
      </c>
      <c r="B1679" t="s">
        <v>1246</v>
      </c>
      <c r="C1679" t="s">
        <v>1224</v>
      </c>
      <c r="D1679">
        <v>18422</v>
      </c>
      <c r="E1679" t="s">
        <v>301</v>
      </c>
      <c r="F1679" t="s">
        <v>302</v>
      </c>
      <c r="G1679" t="s">
        <v>303</v>
      </c>
      <c r="H1679" t="s">
        <v>304</v>
      </c>
      <c r="I1679" t="s">
        <v>31</v>
      </c>
      <c r="J1679">
        <v>500</v>
      </c>
      <c r="K1679" t="s">
        <v>305</v>
      </c>
      <c r="N1679">
        <v>6</v>
      </c>
      <c r="O1679">
        <v>0.40010000000000001</v>
      </c>
      <c r="P1679" t="s">
        <v>38</v>
      </c>
      <c r="Q1679" s="1">
        <v>0</v>
      </c>
      <c r="R1679" t="s">
        <v>1272</v>
      </c>
      <c r="S1679" t="str">
        <f t="shared" si="13"/>
        <v>ko hợp</v>
      </c>
    </row>
    <row r="1680" spans="1:19" hidden="1" x14ac:dyDescent="0.3">
      <c r="A1680" t="s">
        <v>1245</v>
      </c>
      <c r="B1680" t="s">
        <v>1246</v>
      </c>
      <c r="C1680" t="s">
        <v>1224</v>
      </c>
      <c r="D1680">
        <v>14198</v>
      </c>
      <c r="E1680" t="s">
        <v>73</v>
      </c>
      <c r="F1680" t="s">
        <v>74</v>
      </c>
      <c r="G1680" t="s">
        <v>75</v>
      </c>
      <c r="H1680" t="s">
        <v>76</v>
      </c>
      <c r="I1680" t="s">
        <v>31</v>
      </c>
      <c r="J1680">
        <v>377</v>
      </c>
      <c r="K1680" t="s">
        <v>77</v>
      </c>
      <c r="N1680">
        <v>7</v>
      </c>
      <c r="O1680">
        <v>0.39269999999999999</v>
      </c>
      <c r="P1680" t="s">
        <v>38</v>
      </c>
      <c r="Q1680" s="1">
        <v>0</v>
      </c>
      <c r="R1680" t="s">
        <v>1272</v>
      </c>
      <c r="S1680" t="str">
        <f t="shared" si="13"/>
        <v>ko hợp</v>
      </c>
    </row>
    <row r="1681" spans="1:19" hidden="1" x14ac:dyDescent="0.3">
      <c r="A1681" t="s">
        <v>1245</v>
      </c>
      <c r="B1681" t="s">
        <v>1246</v>
      </c>
      <c r="C1681" t="s">
        <v>1224</v>
      </c>
      <c r="D1681">
        <v>20772</v>
      </c>
      <c r="E1681" t="s">
        <v>292</v>
      </c>
      <c r="F1681" t="s">
        <v>293</v>
      </c>
      <c r="G1681" t="s">
        <v>41</v>
      </c>
      <c r="H1681" t="s">
        <v>294</v>
      </c>
      <c r="I1681" t="s">
        <v>25</v>
      </c>
      <c r="J1681">
        <v>787</v>
      </c>
      <c r="K1681" t="s">
        <v>295</v>
      </c>
      <c r="L1681">
        <v>7</v>
      </c>
      <c r="M1681">
        <v>10.1594</v>
      </c>
      <c r="P1681" t="s">
        <v>33</v>
      </c>
      <c r="Q1681" s="1">
        <v>0</v>
      </c>
      <c r="R1681" t="s">
        <v>1272</v>
      </c>
      <c r="S1681" t="str">
        <f t="shared" si="13"/>
        <v>ko hợp</v>
      </c>
    </row>
    <row r="1682" spans="1:19" hidden="1" x14ac:dyDescent="0.3">
      <c r="A1682" t="s">
        <v>1245</v>
      </c>
      <c r="B1682" t="s">
        <v>1246</v>
      </c>
      <c r="C1682" t="s">
        <v>1224</v>
      </c>
      <c r="D1682">
        <v>15839</v>
      </c>
      <c r="E1682" t="s">
        <v>154</v>
      </c>
      <c r="F1682" t="s">
        <v>155</v>
      </c>
      <c r="G1682" t="s">
        <v>156</v>
      </c>
      <c r="H1682" t="s">
        <v>157</v>
      </c>
      <c r="I1682" t="s">
        <v>25</v>
      </c>
      <c r="J1682">
        <v>298</v>
      </c>
      <c r="K1682" t="s">
        <v>158</v>
      </c>
      <c r="L1682">
        <v>8</v>
      </c>
      <c r="M1682">
        <v>10.082599999999999</v>
      </c>
      <c r="P1682" t="s">
        <v>33</v>
      </c>
      <c r="Q1682" s="1">
        <v>0</v>
      </c>
      <c r="R1682" t="s">
        <v>1272</v>
      </c>
      <c r="S1682" t="str">
        <f t="shared" si="13"/>
        <v>ko hợp</v>
      </c>
    </row>
    <row r="1683" spans="1:19" hidden="1" x14ac:dyDescent="0.3">
      <c r="A1683" t="s">
        <v>1245</v>
      </c>
      <c r="B1683" t="s">
        <v>1246</v>
      </c>
      <c r="C1683" t="s">
        <v>1224</v>
      </c>
      <c r="D1683">
        <v>17487</v>
      </c>
      <c r="E1683" t="s">
        <v>641</v>
      </c>
      <c r="F1683" t="s">
        <v>155</v>
      </c>
      <c r="G1683" t="s">
        <v>642</v>
      </c>
      <c r="H1683" t="s">
        <v>643</v>
      </c>
      <c r="I1683" t="s">
        <v>25</v>
      </c>
      <c r="J1683">
        <v>827</v>
      </c>
      <c r="K1683" t="s">
        <v>644</v>
      </c>
      <c r="N1683">
        <v>8</v>
      </c>
      <c r="O1683">
        <v>0.38729999999999998</v>
      </c>
      <c r="P1683" t="s">
        <v>38</v>
      </c>
      <c r="Q1683" s="1">
        <v>0</v>
      </c>
      <c r="R1683" t="s">
        <v>1272</v>
      </c>
      <c r="S1683" t="str">
        <f t="shared" si="13"/>
        <v>ko hợp</v>
      </c>
    </row>
    <row r="1684" spans="1:19" hidden="1" x14ac:dyDescent="0.3">
      <c r="A1684" t="s">
        <v>1245</v>
      </c>
      <c r="B1684" t="s">
        <v>1246</v>
      </c>
      <c r="C1684" t="s">
        <v>1224</v>
      </c>
      <c r="D1684">
        <v>20775</v>
      </c>
      <c r="E1684" t="s">
        <v>368</v>
      </c>
      <c r="F1684" t="s">
        <v>369</v>
      </c>
      <c r="G1684" t="s">
        <v>41</v>
      </c>
      <c r="H1684" t="s">
        <v>370</v>
      </c>
      <c r="I1684" t="s">
        <v>25</v>
      </c>
      <c r="J1684">
        <v>912</v>
      </c>
      <c r="K1684" t="s">
        <v>371</v>
      </c>
      <c r="N1684">
        <v>9</v>
      </c>
      <c r="O1684">
        <v>0.3846</v>
      </c>
      <c r="P1684" t="s">
        <v>38</v>
      </c>
      <c r="Q1684" s="1">
        <v>0</v>
      </c>
      <c r="R1684" t="s">
        <v>1272</v>
      </c>
      <c r="S1684" t="str">
        <f t="shared" si="13"/>
        <v>ko hợp</v>
      </c>
    </row>
    <row r="1685" spans="1:19" hidden="1" x14ac:dyDescent="0.3">
      <c r="A1685" t="s">
        <v>1245</v>
      </c>
      <c r="B1685" t="s">
        <v>1246</v>
      </c>
      <c r="C1685" t="s">
        <v>1224</v>
      </c>
      <c r="D1685">
        <v>16395</v>
      </c>
      <c r="E1685" t="s">
        <v>657</v>
      </c>
      <c r="F1685" t="s">
        <v>155</v>
      </c>
      <c r="G1685" t="s">
        <v>658</v>
      </c>
      <c r="H1685" t="s">
        <v>659</v>
      </c>
      <c r="I1685" t="s">
        <v>25</v>
      </c>
      <c r="J1685">
        <v>1358</v>
      </c>
      <c r="K1685" t="s">
        <v>660</v>
      </c>
      <c r="N1685">
        <v>10</v>
      </c>
      <c r="O1685">
        <v>0.38229999999999997</v>
      </c>
      <c r="P1685" t="s">
        <v>38</v>
      </c>
      <c r="Q1685" s="1">
        <v>0</v>
      </c>
      <c r="R1685" t="s">
        <v>1272</v>
      </c>
      <c r="S1685" t="str">
        <f t="shared" si="13"/>
        <v>ko hợp</v>
      </c>
    </row>
    <row r="1686" spans="1:19" hidden="1" x14ac:dyDescent="0.3">
      <c r="A1686" t="s">
        <v>1245</v>
      </c>
      <c r="B1686" t="s">
        <v>1246</v>
      </c>
      <c r="C1686" t="s">
        <v>1224</v>
      </c>
      <c r="D1686">
        <v>20650</v>
      </c>
      <c r="E1686" t="s">
        <v>309</v>
      </c>
      <c r="F1686" t="s">
        <v>60</v>
      </c>
      <c r="G1686" t="s">
        <v>310</v>
      </c>
      <c r="H1686" t="s">
        <v>311</v>
      </c>
      <c r="I1686" t="s">
        <v>25</v>
      </c>
      <c r="J1686">
        <v>878</v>
      </c>
      <c r="K1686" t="s">
        <v>312</v>
      </c>
      <c r="L1686">
        <v>10</v>
      </c>
      <c r="M1686">
        <v>9.5205000000000002</v>
      </c>
      <c r="P1686" t="s">
        <v>33</v>
      </c>
      <c r="Q1686" s="1">
        <v>0</v>
      </c>
      <c r="R1686" t="s">
        <v>1272</v>
      </c>
      <c r="S1686" t="str">
        <f t="shared" si="13"/>
        <v>ko hợp</v>
      </c>
    </row>
    <row r="1687" spans="1:19" hidden="1" x14ac:dyDescent="0.3">
      <c r="A1687" t="s">
        <v>1247</v>
      </c>
      <c r="B1687" t="s">
        <v>1248</v>
      </c>
      <c r="C1687" t="s">
        <v>1224</v>
      </c>
      <c r="D1687">
        <v>16145</v>
      </c>
      <c r="E1687" t="s">
        <v>182</v>
      </c>
      <c r="F1687" t="s">
        <v>155</v>
      </c>
      <c r="G1687" t="s">
        <v>183</v>
      </c>
      <c r="H1687" t="s">
        <v>184</v>
      </c>
      <c r="I1687" t="s">
        <v>31</v>
      </c>
      <c r="J1687">
        <v>2447</v>
      </c>
      <c r="K1687" t="s">
        <v>185</v>
      </c>
      <c r="L1687">
        <v>1</v>
      </c>
      <c r="M1687">
        <v>15.8788</v>
      </c>
      <c r="N1687">
        <v>1</v>
      </c>
      <c r="O1687">
        <v>0.44369999999999998</v>
      </c>
      <c r="P1687" t="s">
        <v>27</v>
      </c>
      <c r="Q1687" s="1">
        <v>0</v>
      </c>
      <c r="R1687" t="s">
        <v>1272</v>
      </c>
      <c r="S1687" t="str">
        <f t="shared" si="13"/>
        <v>ko hợp</v>
      </c>
    </row>
    <row r="1688" spans="1:19" hidden="1" x14ac:dyDescent="0.3">
      <c r="A1688" t="s">
        <v>1247</v>
      </c>
      <c r="B1688" t="s">
        <v>1248</v>
      </c>
      <c r="C1688" t="s">
        <v>1224</v>
      </c>
      <c r="D1688">
        <v>17792</v>
      </c>
      <c r="E1688" t="s">
        <v>229</v>
      </c>
      <c r="F1688" t="s">
        <v>230</v>
      </c>
      <c r="G1688" t="s">
        <v>231</v>
      </c>
      <c r="H1688" t="s">
        <v>232</v>
      </c>
      <c r="I1688" t="s">
        <v>31</v>
      </c>
      <c r="J1688">
        <v>564</v>
      </c>
      <c r="K1688" t="s">
        <v>233</v>
      </c>
      <c r="L1688">
        <v>2</v>
      </c>
      <c r="M1688">
        <v>13.3956</v>
      </c>
      <c r="N1688">
        <v>10</v>
      </c>
      <c r="O1688">
        <v>0.37419999999999998</v>
      </c>
      <c r="P1688" t="s">
        <v>27</v>
      </c>
      <c r="Q1688" s="1">
        <v>0</v>
      </c>
      <c r="R1688" t="s">
        <v>1272</v>
      </c>
      <c r="S1688" t="str">
        <f t="shared" si="13"/>
        <v>ko hợp</v>
      </c>
    </row>
    <row r="1689" spans="1:19" hidden="1" x14ac:dyDescent="0.3">
      <c r="A1689" t="s">
        <v>1247</v>
      </c>
      <c r="B1689" t="s">
        <v>1248</v>
      </c>
      <c r="C1689" t="s">
        <v>1224</v>
      </c>
      <c r="D1689">
        <v>20799</v>
      </c>
      <c r="E1689" t="s">
        <v>493</v>
      </c>
      <c r="F1689" t="s">
        <v>494</v>
      </c>
      <c r="G1689" t="s">
        <v>495</v>
      </c>
      <c r="H1689" t="s">
        <v>496</v>
      </c>
      <c r="I1689" t="s">
        <v>25</v>
      </c>
      <c r="J1689">
        <v>575</v>
      </c>
      <c r="K1689" t="s">
        <v>497</v>
      </c>
      <c r="L1689">
        <v>8</v>
      </c>
      <c r="M1689">
        <v>10.941000000000001</v>
      </c>
      <c r="N1689">
        <v>2</v>
      </c>
      <c r="O1689">
        <v>0.40339999999999998</v>
      </c>
      <c r="P1689" t="s">
        <v>27</v>
      </c>
      <c r="Q1689" s="1">
        <v>2</v>
      </c>
      <c r="R1689" t="s">
        <v>1272</v>
      </c>
      <c r="S1689" t="str">
        <f t="shared" si="13"/>
        <v>ok</v>
      </c>
    </row>
    <row r="1690" spans="1:19" hidden="1" x14ac:dyDescent="0.3">
      <c r="A1690" t="s">
        <v>1247</v>
      </c>
      <c r="B1690" t="s">
        <v>1248</v>
      </c>
      <c r="C1690" t="s">
        <v>1224</v>
      </c>
      <c r="D1690">
        <v>541</v>
      </c>
      <c r="E1690" t="s">
        <v>170</v>
      </c>
      <c r="F1690" t="s">
        <v>155</v>
      </c>
      <c r="G1690" t="s">
        <v>171</v>
      </c>
      <c r="H1690" t="s">
        <v>172</v>
      </c>
      <c r="I1690" t="s">
        <v>25</v>
      </c>
      <c r="J1690">
        <v>738</v>
      </c>
      <c r="K1690" t="s">
        <v>173</v>
      </c>
      <c r="L1690">
        <v>3</v>
      </c>
      <c r="M1690">
        <v>12.2089</v>
      </c>
      <c r="P1690" t="s">
        <v>33</v>
      </c>
      <c r="Q1690" s="1">
        <v>2</v>
      </c>
      <c r="R1690" t="s">
        <v>1272</v>
      </c>
      <c r="S1690" t="str">
        <f t="shared" si="13"/>
        <v>ok</v>
      </c>
    </row>
    <row r="1691" spans="1:19" hidden="1" x14ac:dyDescent="0.3">
      <c r="A1691" t="s">
        <v>1247</v>
      </c>
      <c r="B1691" t="s">
        <v>1248</v>
      </c>
      <c r="C1691" t="s">
        <v>1224</v>
      </c>
      <c r="D1691">
        <v>17349</v>
      </c>
      <c r="E1691" t="s">
        <v>234</v>
      </c>
      <c r="F1691" t="s">
        <v>155</v>
      </c>
      <c r="G1691" t="s">
        <v>235</v>
      </c>
      <c r="H1691" t="s">
        <v>236</v>
      </c>
      <c r="I1691" t="s">
        <v>25</v>
      </c>
      <c r="J1691">
        <v>281</v>
      </c>
      <c r="K1691" t="s">
        <v>237</v>
      </c>
      <c r="L1691">
        <v>5</v>
      </c>
      <c r="M1691">
        <v>11.446099999999999</v>
      </c>
      <c r="N1691">
        <v>3</v>
      </c>
      <c r="O1691">
        <v>0.4012</v>
      </c>
      <c r="P1691" t="s">
        <v>27</v>
      </c>
      <c r="Q1691" s="1">
        <v>2</v>
      </c>
      <c r="R1691" t="s">
        <v>1272</v>
      </c>
      <c r="S1691" t="str">
        <f t="shared" si="13"/>
        <v>ok</v>
      </c>
    </row>
    <row r="1692" spans="1:19" hidden="1" x14ac:dyDescent="0.3">
      <c r="A1692" t="s">
        <v>1247</v>
      </c>
      <c r="B1692" t="s">
        <v>1248</v>
      </c>
      <c r="C1692" t="s">
        <v>1224</v>
      </c>
      <c r="D1692">
        <v>12490</v>
      </c>
      <c r="E1692" t="s">
        <v>1249</v>
      </c>
      <c r="F1692" t="s">
        <v>155</v>
      </c>
      <c r="G1692" t="s">
        <v>1250</v>
      </c>
      <c r="H1692" t="s">
        <v>1251</v>
      </c>
      <c r="I1692" t="s">
        <v>31</v>
      </c>
      <c r="J1692">
        <v>440</v>
      </c>
      <c r="K1692" t="s">
        <v>1252</v>
      </c>
      <c r="N1692">
        <v>4</v>
      </c>
      <c r="O1692">
        <v>0.3896</v>
      </c>
      <c r="P1692" t="s">
        <v>38</v>
      </c>
      <c r="Q1692" s="1">
        <v>2</v>
      </c>
      <c r="R1692" t="s">
        <v>1272</v>
      </c>
      <c r="S1692" t="str">
        <f t="shared" si="13"/>
        <v>ok</v>
      </c>
    </row>
    <row r="1693" spans="1:19" hidden="1" x14ac:dyDescent="0.3">
      <c r="A1693" t="s">
        <v>1247</v>
      </c>
      <c r="B1693" t="s">
        <v>1248</v>
      </c>
      <c r="C1693" t="s">
        <v>1224</v>
      </c>
      <c r="D1693">
        <v>12662</v>
      </c>
      <c r="E1693" t="s">
        <v>313</v>
      </c>
      <c r="F1693" t="s">
        <v>155</v>
      </c>
      <c r="G1693" t="s">
        <v>314</v>
      </c>
      <c r="H1693" t="s">
        <v>315</v>
      </c>
      <c r="I1693" t="s">
        <v>31</v>
      </c>
      <c r="J1693">
        <v>711</v>
      </c>
      <c r="K1693" t="s">
        <v>316</v>
      </c>
      <c r="L1693">
        <v>4</v>
      </c>
      <c r="M1693">
        <v>11.551</v>
      </c>
      <c r="P1693" t="s">
        <v>33</v>
      </c>
      <c r="Q1693" s="1">
        <v>2</v>
      </c>
      <c r="R1693" t="s">
        <v>1272</v>
      </c>
      <c r="S1693" t="str">
        <f t="shared" si="13"/>
        <v>ok</v>
      </c>
    </row>
    <row r="1694" spans="1:19" hidden="1" x14ac:dyDescent="0.3">
      <c r="A1694" t="s">
        <v>1247</v>
      </c>
      <c r="B1694" t="s">
        <v>1248</v>
      </c>
      <c r="C1694" t="s">
        <v>1224</v>
      </c>
      <c r="D1694">
        <v>19019</v>
      </c>
      <c r="E1694" t="s">
        <v>296</v>
      </c>
      <c r="F1694" t="s">
        <v>297</v>
      </c>
      <c r="G1694" t="s">
        <v>298</v>
      </c>
      <c r="H1694" t="s">
        <v>299</v>
      </c>
      <c r="I1694" t="s">
        <v>25</v>
      </c>
      <c r="J1694">
        <v>999</v>
      </c>
      <c r="K1694" t="s">
        <v>300</v>
      </c>
      <c r="N1694">
        <v>5</v>
      </c>
      <c r="O1694">
        <v>0.38140000000000002</v>
      </c>
      <c r="P1694" t="s">
        <v>38</v>
      </c>
      <c r="Q1694" s="1">
        <v>2</v>
      </c>
      <c r="R1694" t="s">
        <v>1272</v>
      </c>
      <c r="S1694" t="str">
        <f t="shared" si="13"/>
        <v>ok</v>
      </c>
    </row>
    <row r="1695" spans="1:19" hidden="1" x14ac:dyDescent="0.3">
      <c r="A1695" t="s">
        <v>1247</v>
      </c>
      <c r="B1695" t="s">
        <v>1248</v>
      </c>
      <c r="C1695" t="s">
        <v>1224</v>
      </c>
      <c r="D1695">
        <v>17650</v>
      </c>
      <c r="E1695" t="s">
        <v>195</v>
      </c>
      <c r="F1695" t="s">
        <v>155</v>
      </c>
      <c r="G1695" t="s">
        <v>196</v>
      </c>
      <c r="H1695" t="s">
        <v>197</v>
      </c>
      <c r="I1695" t="s">
        <v>25</v>
      </c>
      <c r="J1695">
        <v>700</v>
      </c>
      <c r="K1695" t="s">
        <v>198</v>
      </c>
      <c r="L1695">
        <v>6</v>
      </c>
      <c r="M1695">
        <v>11.0762</v>
      </c>
      <c r="P1695" t="s">
        <v>33</v>
      </c>
      <c r="Q1695" s="1">
        <v>2</v>
      </c>
      <c r="R1695" t="s">
        <v>1272</v>
      </c>
      <c r="S1695" t="str">
        <f t="shared" si="13"/>
        <v>ok</v>
      </c>
    </row>
    <row r="1696" spans="1:19" hidden="1" x14ac:dyDescent="0.3">
      <c r="A1696" t="s">
        <v>1247</v>
      </c>
      <c r="B1696" t="s">
        <v>1248</v>
      </c>
      <c r="C1696" t="s">
        <v>1224</v>
      </c>
      <c r="D1696">
        <v>20259</v>
      </c>
      <c r="E1696" t="s">
        <v>49</v>
      </c>
      <c r="F1696" t="s">
        <v>50</v>
      </c>
      <c r="G1696" t="s">
        <v>51</v>
      </c>
      <c r="H1696" t="s">
        <v>52</v>
      </c>
      <c r="I1696" t="s">
        <v>25</v>
      </c>
      <c r="J1696">
        <v>313</v>
      </c>
      <c r="K1696" t="s">
        <v>53</v>
      </c>
      <c r="N1696">
        <v>6</v>
      </c>
      <c r="O1696">
        <v>0.38100000000000001</v>
      </c>
      <c r="P1696" t="s">
        <v>38</v>
      </c>
      <c r="Q1696" s="1">
        <v>0</v>
      </c>
      <c r="R1696" t="s">
        <v>1272</v>
      </c>
      <c r="S1696" t="str">
        <f t="shared" si="13"/>
        <v>ko hợp</v>
      </c>
    </row>
    <row r="1697" spans="1:19" hidden="1" x14ac:dyDescent="0.3">
      <c r="A1697" t="s">
        <v>1247</v>
      </c>
      <c r="B1697" t="s">
        <v>1248</v>
      </c>
      <c r="C1697" t="s">
        <v>1224</v>
      </c>
      <c r="D1697">
        <v>13084</v>
      </c>
      <c r="E1697" t="s">
        <v>217</v>
      </c>
      <c r="F1697" t="s">
        <v>155</v>
      </c>
      <c r="G1697" t="s">
        <v>218</v>
      </c>
      <c r="H1697" t="s">
        <v>219</v>
      </c>
      <c r="I1697" t="s">
        <v>31</v>
      </c>
      <c r="J1697">
        <v>730</v>
      </c>
      <c r="K1697" t="s">
        <v>220</v>
      </c>
      <c r="L1697">
        <v>7</v>
      </c>
      <c r="M1697">
        <v>10.9788</v>
      </c>
      <c r="P1697" t="s">
        <v>33</v>
      </c>
      <c r="Q1697" s="1">
        <v>2</v>
      </c>
      <c r="R1697" t="s">
        <v>1272</v>
      </c>
      <c r="S1697" t="str">
        <f t="shared" si="13"/>
        <v>ok</v>
      </c>
    </row>
    <row r="1698" spans="1:19" hidden="1" x14ac:dyDescent="0.3">
      <c r="A1698" t="s">
        <v>1247</v>
      </c>
      <c r="B1698" t="s">
        <v>1248</v>
      </c>
      <c r="C1698" t="s">
        <v>1224</v>
      </c>
      <c r="D1698">
        <v>18703</v>
      </c>
      <c r="E1698" t="s">
        <v>116</v>
      </c>
      <c r="F1698" t="s">
        <v>117</v>
      </c>
      <c r="G1698" t="s">
        <v>118</v>
      </c>
      <c r="H1698" t="s">
        <v>119</v>
      </c>
      <c r="I1698" t="s">
        <v>31</v>
      </c>
      <c r="J1698">
        <v>303</v>
      </c>
      <c r="K1698" t="s">
        <v>120</v>
      </c>
      <c r="N1698">
        <v>7</v>
      </c>
      <c r="O1698">
        <v>0.38019999999999998</v>
      </c>
      <c r="P1698" t="s">
        <v>38</v>
      </c>
      <c r="Q1698" s="1">
        <v>0</v>
      </c>
      <c r="R1698" t="s">
        <v>1272</v>
      </c>
      <c r="S1698" t="str">
        <f t="shared" si="13"/>
        <v>ko hợp</v>
      </c>
    </row>
    <row r="1699" spans="1:19" hidden="1" x14ac:dyDescent="0.3">
      <c r="A1699" t="s">
        <v>1247</v>
      </c>
      <c r="B1699" t="s">
        <v>1248</v>
      </c>
      <c r="C1699" t="s">
        <v>1224</v>
      </c>
      <c r="D1699">
        <v>17487</v>
      </c>
      <c r="E1699" t="s">
        <v>641</v>
      </c>
      <c r="F1699" t="s">
        <v>155</v>
      </c>
      <c r="G1699" t="s">
        <v>642</v>
      </c>
      <c r="H1699" t="s">
        <v>643</v>
      </c>
      <c r="I1699" t="s">
        <v>25</v>
      </c>
      <c r="J1699">
        <v>827</v>
      </c>
      <c r="K1699" t="s">
        <v>644</v>
      </c>
      <c r="N1699">
        <v>8</v>
      </c>
      <c r="O1699">
        <v>0.37890000000000001</v>
      </c>
      <c r="P1699" t="s">
        <v>38</v>
      </c>
      <c r="Q1699" s="1">
        <v>2</v>
      </c>
      <c r="R1699" t="s">
        <v>1272</v>
      </c>
      <c r="S1699" t="str">
        <f t="shared" si="13"/>
        <v>ok</v>
      </c>
    </row>
    <row r="1700" spans="1:19" hidden="1" x14ac:dyDescent="0.3">
      <c r="A1700" t="s">
        <v>1247</v>
      </c>
      <c r="B1700" t="s">
        <v>1248</v>
      </c>
      <c r="C1700" t="s">
        <v>1224</v>
      </c>
      <c r="D1700">
        <v>19521</v>
      </c>
      <c r="E1700" t="s">
        <v>213</v>
      </c>
      <c r="F1700" t="s">
        <v>155</v>
      </c>
      <c r="G1700" t="s">
        <v>214</v>
      </c>
      <c r="H1700" t="s">
        <v>215</v>
      </c>
      <c r="I1700" t="s">
        <v>31</v>
      </c>
      <c r="J1700">
        <v>265</v>
      </c>
      <c r="K1700" t="s">
        <v>216</v>
      </c>
      <c r="N1700">
        <v>9</v>
      </c>
      <c r="O1700">
        <v>0.37709999999999999</v>
      </c>
      <c r="P1700" t="s">
        <v>38</v>
      </c>
      <c r="Q1700" s="1">
        <v>2</v>
      </c>
      <c r="R1700" t="s">
        <v>1272</v>
      </c>
      <c r="S1700" t="str">
        <f t="shared" si="13"/>
        <v>ok</v>
      </c>
    </row>
    <row r="1701" spans="1:19" hidden="1" x14ac:dyDescent="0.3">
      <c r="A1701" t="s">
        <v>1247</v>
      </c>
      <c r="B1701" t="s">
        <v>1248</v>
      </c>
      <c r="C1701" t="s">
        <v>1224</v>
      </c>
      <c r="D1701">
        <v>20650</v>
      </c>
      <c r="E1701" t="s">
        <v>309</v>
      </c>
      <c r="F1701" t="s">
        <v>60</v>
      </c>
      <c r="G1701" t="s">
        <v>310</v>
      </c>
      <c r="H1701" t="s">
        <v>311</v>
      </c>
      <c r="I1701" t="s">
        <v>25</v>
      </c>
      <c r="J1701">
        <v>878</v>
      </c>
      <c r="K1701" t="s">
        <v>312</v>
      </c>
      <c r="L1701">
        <v>9</v>
      </c>
      <c r="M1701">
        <v>10.917199999999999</v>
      </c>
      <c r="P1701" t="s">
        <v>33</v>
      </c>
      <c r="Q1701" s="1">
        <v>0</v>
      </c>
      <c r="R1701" t="s">
        <v>1272</v>
      </c>
      <c r="S1701" t="str">
        <f t="shared" si="13"/>
        <v>ko hợp</v>
      </c>
    </row>
    <row r="1702" spans="1:19" hidden="1" x14ac:dyDescent="0.3">
      <c r="A1702" t="s">
        <v>1247</v>
      </c>
      <c r="B1702" t="s">
        <v>1248</v>
      </c>
      <c r="C1702" t="s">
        <v>1224</v>
      </c>
      <c r="D1702">
        <v>13494</v>
      </c>
      <c r="E1702" t="s">
        <v>993</v>
      </c>
      <c r="F1702" t="s">
        <v>155</v>
      </c>
      <c r="G1702" t="s">
        <v>994</v>
      </c>
      <c r="H1702" t="s">
        <v>995</v>
      </c>
      <c r="I1702" t="s">
        <v>31</v>
      </c>
      <c r="J1702">
        <v>633</v>
      </c>
      <c r="K1702" t="s">
        <v>996</v>
      </c>
      <c r="L1702">
        <v>10</v>
      </c>
      <c r="M1702">
        <v>10.083</v>
      </c>
      <c r="P1702" t="s">
        <v>33</v>
      </c>
      <c r="Q1702" s="1">
        <v>0</v>
      </c>
      <c r="R1702" t="s">
        <v>1272</v>
      </c>
      <c r="S1702" t="str">
        <f t="shared" si="13"/>
        <v>ko hợp</v>
      </c>
    </row>
    <row r="1703" spans="1:19" hidden="1" x14ac:dyDescent="0.3">
      <c r="A1703" t="s">
        <v>1253</v>
      </c>
      <c r="B1703" t="s">
        <v>1254</v>
      </c>
      <c r="C1703" t="s">
        <v>1224</v>
      </c>
      <c r="D1703">
        <v>16395</v>
      </c>
      <c r="E1703" t="s">
        <v>657</v>
      </c>
      <c r="F1703" t="s">
        <v>155</v>
      </c>
      <c r="G1703" t="s">
        <v>658</v>
      </c>
      <c r="H1703" t="s">
        <v>659</v>
      </c>
      <c r="I1703" t="s">
        <v>25</v>
      </c>
      <c r="J1703">
        <v>1358</v>
      </c>
      <c r="K1703" t="s">
        <v>660</v>
      </c>
      <c r="L1703">
        <v>7</v>
      </c>
      <c r="M1703">
        <v>8.9779999999999998</v>
      </c>
      <c r="N1703">
        <v>1</v>
      </c>
      <c r="O1703">
        <v>0.45550000000000002</v>
      </c>
      <c r="P1703" t="s">
        <v>27</v>
      </c>
      <c r="Q1703" s="1">
        <v>0</v>
      </c>
      <c r="R1703" t="s">
        <v>1272</v>
      </c>
      <c r="S1703" t="str">
        <f t="shared" si="13"/>
        <v>ko hợp</v>
      </c>
    </row>
    <row r="1704" spans="1:19" hidden="1" x14ac:dyDescent="0.3">
      <c r="A1704" t="s">
        <v>1253</v>
      </c>
      <c r="B1704" t="s">
        <v>1254</v>
      </c>
      <c r="C1704" t="s">
        <v>1224</v>
      </c>
      <c r="D1704">
        <v>19982</v>
      </c>
      <c r="E1704" t="s">
        <v>28</v>
      </c>
      <c r="F1704" t="s">
        <v>22</v>
      </c>
      <c r="G1704" t="s">
        <v>29</v>
      </c>
      <c r="H1704" t="s">
        <v>30</v>
      </c>
      <c r="I1704" t="s">
        <v>31</v>
      </c>
      <c r="J1704">
        <v>543</v>
      </c>
      <c r="K1704" t="s">
        <v>32</v>
      </c>
      <c r="L1704">
        <v>1</v>
      </c>
      <c r="M1704">
        <v>16.042000000000002</v>
      </c>
      <c r="N1704">
        <v>6</v>
      </c>
      <c r="O1704">
        <v>0.43180000000000002</v>
      </c>
      <c r="P1704" t="s">
        <v>27</v>
      </c>
      <c r="Q1704" s="1">
        <v>0</v>
      </c>
      <c r="R1704" t="s">
        <v>1272</v>
      </c>
      <c r="S1704" t="str">
        <f t="shared" si="13"/>
        <v>ko hợp</v>
      </c>
    </row>
    <row r="1705" spans="1:19" hidden="1" x14ac:dyDescent="0.3">
      <c r="A1705" t="s">
        <v>1253</v>
      </c>
      <c r="B1705" t="s">
        <v>1254</v>
      </c>
      <c r="C1705" t="s">
        <v>1224</v>
      </c>
      <c r="D1705">
        <v>16537</v>
      </c>
      <c r="E1705" t="s">
        <v>899</v>
      </c>
      <c r="F1705" t="s">
        <v>22</v>
      </c>
      <c r="G1705" t="s">
        <v>822</v>
      </c>
      <c r="H1705" t="s">
        <v>900</v>
      </c>
      <c r="I1705" t="s">
        <v>31</v>
      </c>
      <c r="J1705">
        <v>712</v>
      </c>
      <c r="K1705" t="s">
        <v>901</v>
      </c>
      <c r="N1705">
        <v>2</v>
      </c>
      <c r="O1705">
        <v>0.45540000000000003</v>
      </c>
      <c r="P1705" t="s">
        <v>38</v>
      </c>
      <c r="Q1705" s="1">
        <v>0</v>
      </c>
      <c r="R1705" t="s">
        <v>1272</v>
      </c>
      <c r="S1705" t="str">
        <f t="shared" si="13"/>
        <v>ko hợp</v>
      </c>
    </row>
    <row r="1706" spans="1:19" hidden="1" x14ac:dyDescent="0.3">
      <c r="A1706" t="s">
        <v>1253</v>
      </c>
      <c r="B1706" t="s">
        <v>1254</v>
      </c>
      <c r="C1706" t="s">
        <v>1224</v>
      </c>
      <c r="D1706">
        <v>20789</v>
      </c>
      <c r="E1706" t="s">
        <v>39</v>
      </c>
      <c r="F1706" t="s">
        <v>40</v>
      </c>
      <c r="G1706" t="s">
        <v>41</v>
      </c>
      <c r="H1706" t="s">
        <v>42</v>
      </c>
      <c r="I1706" t="s">
        <v>25</v>
      </c>
      <c r="J1706">
        <v>810</v>
      </c>
      <c r="K1706" t="s">
        <v>43</v>
      </c>
      <c r="L1706">
        <v>2</v>
      </c>
      <c r="M1706">
        <v>12.681800000000001</v>
      </c>
      <c r="N1706">
        <v>7</v>
      </c>
      <c r="O1706">
        <v>0.43149999999999999</v>
      </c>
      <c r="P1706" t="s">
        <v>27</v>
      </c>
      <c r="Q1706" s="1">
        <v>0</v>
      </c>
      <c r="R1706" t="s">
        <v>1272</v>
      </c>
      <c r="S1706" t="str">
        <f t="shared" si="13"/>
        <v>ko hợp</v>
      </c>
    </row>
    <row r="1707" spans="1:19" hidden="1" x14ac:dyDescent="0.3">
      <c r="A1707" t="s">
        <v>1253</v>
      </c>
      <c r="B1707" t="s">
        <v>1254</v>
      </c>
      <c r="C1707" t="s">
        <v>1224</v>
      </c>
      <c r="D1707">
        <v>15013</v>
      </c>
      <c r="E1707" t="s">
        <v>59</v>
      </c>
      <c r="F1707" t="s">
        <v>60</v>
      </c>
      <c r="G1707" t="s">
        <v>61</v>
      </c>
      <c r="H1707" t="s">
        <v>62</v>
      </c>
      <c r="I1707" t="s">
        <v>25</v>
      </c>
      <c r="J1707">
        <v>550</v>
      </c>
      <c r="K1707" t="s">
        <v>63</v>
      </c>
      <c r="N1707">
        <v>3</v>
      </c>
      <c r="O1707">
        <v>0.45400000000000001</v>
      </c>
      <c r="P1707" t="s">
        <v>38</v>
      </c>
      <c r="Q1707" s="1">
        <v>0</v>
      </c>
      <c r="R1707" t="s">
        <v>1272</v>
      </c>
      <c r="S1707" t="str">
        <f t="shared" si="13"/>
        <v>ko hợp</v>
      </c>
    </row>
    <row r="1708" spans="1:19" hidden="1" x14ac:dyDescent="0.3">
      <c r="A1708" t="s">
        <v>1253</v>
      </c>
      <c r="B1708" t="s">
        <v>1254</v>
      </c>
      <c r="C1708" t="s">
        <v>1224</v>
      </c>
      <c r="D1708">
        <v>15839</v>
      </c>
      <c r="E1708" t="s">
        <v>154</v>
      </c>
      <c r="F1708" t="s">
        <v>155</v>
      </c>
      <c r="G1708" t="s">
        <v>156</v>
      </c>
      <c r="H1708" t="s">
        <v>157</v>
      </c>
      <c r="I1708" t="s">
        <v>25</v>
      </c>
      <c r="J1708">
        <v>298</v>
      </c>
      <c r="K1708" t="s">
        <v>158</v>
      </c>
      <c r="L1708">
        <v>3</v>
      </c>
      <c r="M1708">
        <v>11.1228</v>
      </c>
      <c r="P1708" t="s">
        <v>33</v>
      </c>
      <c r="Q1708" s="1">
        <v>0</v>
      </c>
      <c r="R1708" t="s">
        <v>1272</v>
      </c>
      <c r="S1708" t="str">
        <f t="shared" si="13"/>
        <v>ko hợp</v>
      </c>
    </row>
    <row r="1709" spans="1:19" hidden="1" x14ac:dyDescent="0.3">
      <c r="A1709" t="s">
        <v>1253</v>
      </c>
      <c r="B1709" t="s">
        <v>1254</v>
      </c>
      <c r="C1709" t="s">
        <v>1224</v>
      </c>
      <c r="D1709">
        <v>360</v>
      </c>
      <c r="E1709" t="s">
        <v>1165</v>
      </c>
      <c r="F1709" t="s">
        <v>22</v>
      </c>
      <c r="G1709" t="s">
        <v>1166</v>
      </c>
      <c r="H1709" t="s">
        <v>1167</v>
      </c>
      <c r="I1709" t="s">
        <v>25</v>
      </c>
      <c r="J1709">
        <v>356</v>
      </c>
      <c r="K1709" t="s">
        <v>1168</v>
      </c>
      <c r="N1709">
        <v>4</v>
      </c>
      <c r="O1709">
        <v>0.44429999999999997</v>
      </c>
      <c r="P1709" t="s">
        <v>38</v>
      </c>
      <c r="Q1709" s="1">
        <v>2</v>
      </c>
      <c r="R1709" t="s">
        <v>1272</v>
      </c>
      <c r="S1709" t="str">
        <f t="shared" si="13"/>
        <v>ok</v>
      </c>
    </row>
    <row r="1710" spans="1:19" hidden="1" x14ac:dyDescent="0.3">
      <c r="A1710" t="s">
        <v>1253</v>
      </c>
      <c r="B1710" t="s">
        <v>1254</v>
      </c>
      <c r="C1710" t="s">
        <v>1224</v>
      </c>
      <c r="D1710">
        <v>19710</v>
      </c>
      <c r="E1710" t="s">
        <v>199</v>
      </c>
      <c r="F1710" t="s">
        <v>200</v>
      </c>
      <c r="G1710" t="s">
        <v>201</v>
      </c>
      <c r="H1710" t="s">
        <v>202</v>
      </c>
      <c r="I1710" t="s">
        <v>31</v>
      </c>
      <c r="J1710">
        <v>262</v>
      </c>
      <c r="K1710" t="s">
        <v>203</v>
      </c>
      <c r="L1710">
        <v>4</v>
      </c>
      <c r="M1710">
        <v>11.1088</v>
      </c>
      <c r="P1710" t="s">
        <v>33</v>
      </c>
      <c r="Q1710" s="1">
        <v>0</v>
      </c>
      <c r="R1710" t="s">
        <v>1272</v>
      </c>
      <c r="S1710" t="str">
        <f t="shared" si="13"/>
        <v>ko hợp</v>
      </c>
    </row>
    <row r="1711" spans="1:19" hidden="1" x14ac:dyDescent="0.3">
      <c r="A1711" t="s">
        <v>1253</v>
      </c>
      <c r="B1711" t="s">
        <v>1254</v>
      </c>
      <c r="C1711" t="s">
        <v>1224</v>
      </c>
      <c r="D1711">
        <v>11464</v>
      </c>
      <c r="E1711" t="s">
        <v>463</v>
      </c>
      <c r="F1711" t="s">
        <v>60</v>
      </c>
      <c r="G1711" t="s">
        <v>464</v>
      </c>
      <c r="H1711" t="s">
        <v>465</v>
      </c>
      <c r="I1711" t="s">
        <v>31</v>
      </c>
      <c r="J1711">
        <v>695</v>
      </c>
      <c r="K1711" t="s">
        <v>466</v>
      </c>
      <c r="N1711">
        <v>5</v>
      </c>
      <c r="O1711">
        <v>0.43390000000000001</v>
      </c>
      <c r="P1711" t="s">
        <v>38</v>
      </c>
      <c r="Q1711" s="1">
        <v>0</v>
      </c>
      <c r="R1711" t="s">
        <v>1272</v>
      </c>
      <c r="S1711" t="str">
        <f t="shared" si="13"/>
        <v>ko hợp</v>
      </c>
    </row>
    <row r="1712" spans="1:19" hidden="1" x14ac:dyDescent="0.3">
      <c r="A1712" t="s">
        <v>1253</v>
      </c>
      <c r="B1712" t="s">
        <v>1254</v>
      </c>
      <c r="C1712" t="s">
        <v>1224</v>
      </c>
      <c r="D1712">
        <v>12737</v>
      </c>
      <c r="E1712" t="s">
        <v>588</v>
      </c>
      <c r="F1712" t="s">
        <v>22</v>
      </c>
      <c r="G1712" t="s">
        <v>589</v>
      </c>
      <c r="H1712" t="s">
        <v>590</v>
      </c>
      <c r="I1712" t="s">
        <v>31</v>
      </c>
      <c r="J1712">
        <v>1553</v>
      </c>
      <c r="K1712" t="s">
        <v>591</v>
      </c>
      <c r="L1712">
        <v>5</v>
      </c>
      <c r="M1712">
        <v>9.5210000000000008</v>
      </c>
      <c r="P1712" t="s">
        <v>33</v>
      </c>
      <c r="Q1712" s="1">
        <v>0</v>
      </c>
      <c r="R1712" t="s">
        <v>1272</v>
      </c>
      <c r="S1712" t="str">
        <f t="shared" si="13"/>
        <v>ko hợp</v>
      </c>
    </row>
    <row r="1713" spans="1:19" hidden="1" x14ac:dyDescent="0.3">
      <c r="A1713" t="s">
        <v>1253</v>
      </c>
      <c r="B1713" t="s">
        <v>1254</v>
      </c>
      <c r="C1713" t="s">
        <v>1224</v>
      </c>
      <c r="D1713">
        <v>10730</v>
      </c>
      <c r="E1713" t="s">
        <v>317</v>
      </c>
      <c r="F1713" t="s">
        <v>60</v>
      </c>
      <c r="G1713" t="s">
        <v>318</v>
      </c>
      <c r="H1713" t="s">
        <v>319</v>
      </c>
      <c r="I1713" t="s">
        <v>25</v>
      </c>
      <c r="J1713">
        <v>800</v>
      </c>
      <c r="K1713" t="s">
        <v>320</v>
      </c>
      <c r="L1713">
        <v>6</v>
      </c>
      <c r="M1713">
        <v>9.2070000000000007</v>
      </c>
      <c r="P1713" t="s">
        <v>33</v>
      </c>
      <c r="Q1713" s="1">
        <v>0</v>
      </c>
      <c r="R1713" t="s">
        <v>1272</v>
      </c>
      <c r="S1713" t="str">
        <f t="shared" si="13"/>
        <v>ko hợp</v>
      </c>
    </row>
    <row r="1714" spans="1:19" hidden="1" x14ac:dyDescent="0.3">
      <c r="A1714" t="s">
        <v>1253</v>
      </c>
      <c r="B1714" t="s">
        <v>1254</v>
      </c>
      <c r="C1714" t="s">
        <v>1224</v>
      </c>
      <c r="D1714">
        <v>13817</v>
      </c>
      <c r="E1714" t="s">
        <v>1153</v>
      </c>
      <c r="F1714" t="s">
        <v>22</v>
      </c>
      <c r="G1714" t="s">
        <v>1154</v>
      </c>
      <c r="H1714" t="s">
        <v>1155</v>
      </c>
      <c r="I1714" t="s">
        <v>31</v>
      </c>
      <c r="J1714">
        <v>1533</v>
      </c>
      <c r="K1714" t="s">
        <v>1156</v>
      </c>
      <c r="N1714">
        <v>8</v>
      </c>
      <c r="O1714">
        <v>0.42649999999999999</v>
      </c>
      <c r="P1714" t="s">
        <v>38</v>
      </c>
      <c r="Q1714" s="1">
        <v>0</v>
      </c>
      <c r="R1714" t="s">
        <v>1272</v>
      </c>
      <c r="S1714" t="str">
        <f t="shared" si="13"/>
        <v>ko hợp</v>
      </c>
    </row>
    <row r="1715" spans="1:19" hidden="1" x14ac:dyDescent="0.3">
      <c r="A1715" t="s">
        <v>1253</v>
      </c>
      <c r="B1715" t="s">
        <v>1254</v>
      </c>
      <c r="C1715" t="s">
        <v>1224</v>
      </c>
      <c r="D1715">
        <v>20648</v>
      </c>
      <c r="E1715" t="s">
        <v>617</v>
      </c>
      <c r="F1715" t="s">
        <v>22</v>
      </c>
      <c r="G1715" t="s">
        <v>618</v>
      </c>
      <c r="H1715" t="s">
        <v>619</v>
      </c>
      <c r="I1715" t="s">
        <v>31</v>
      </c>
      <c r="J1715">
        <v>2286</v>
      </c>
      <c r="K1715" t="s">
        <v>620</v>
      </c>
      <c r="L1715">
        <v>8</v>
      </c>
      <c r="M1715">
        <v>8.9643999999999995</v>
      </c>
      <c r="P1715" t="s">
        <v>33</v>
      </c>
      <c r="Q1715" s="1">
        <v>0</v>
      </c>
      <c r="R1715" t="s">
        <v>1272</v>
      </c>
      <c r="S1715" t="str">
        <f t="shared" si="13"/>
        <v>ko hợp</v>
      </c>
    </row>
    <row r="1716" spans="1:19" hidden="1" x14ac:dyDescent="0.3">
      <c r="A1716" t="s">
        <v>1253</v>
      </c>
      <c r="B1716" t="s">
        <v>1254</v>
      </c>
      <c r="C1716" t="s">
        <v>1224</v>
      </c>
      <c r="D1716">
        <v>9821</v>
      </c>
      <c r="E1716" t="s">
        <v>21</v>
      </c>
      <c r="F1716" t="s">
        <v>22</v>
      </c>
      <c r="G1716" t="s">
        <v>23</v>
      </c>
      <c r="H1716" t="s">
        <v>24</v>
      </c>
      <c r="I1716" t="s">
        <v>25</v>
      </c>
      <c r="J1716">
        <v>998</v>
      </c>
      <c r="K1716" t="s">
        <v>26</v>
      </c>
      <c r="N1716">
        <v>9</v>
      </c>
      <c r="O1716">
        <v>0.4259</v>
      </c>
      <c r="P1716" t="s">
        <v>38</v>
      </c>
      <c r="Q1716" s="1">
        <v>0</v>
      </c>
      <c r="R1716" t="s">
        <v>1272</v>
      </c>
      <c r="S1716" t="str">
        <f t="shared" si="13"/>
        <v>ko hợp</v>
      </c>
    </row>
    <row r="1717" spans="1:19" hidden="1" x14ac:dyDescent="0.3">
      <c r="A1717" t="s">
        <v>1253</v>
      </c>
      <c r="B1717" t="s">
        <v>1254</v>
      </c>
      <c r="C1717" t="s">
        <v>1224</v>
      </c>
      <c r="D1717">
        <v>16838</v>
      </c>
      <c r="E1717" t="s">
        <v>129</v>
      </c>
      <c r="F1717" t="s">
        <v>60</v>
      </c>
      <c r="G1717" t="s">
        <v>130</v>
      </c>
      <c r="H1717" t="s">
        <v>131</v>
      </c>
      <c r="I1717" t="s">
        <v>31</v>
      </c>
      <c r="J1717">
        <v>3435</v>
      </c>
      <c r="K1717" t="s">
        <v>132</v>
      </c>
      <c r="L1717">
        <v>9</v>
      </c>
      <c r="M1717">
        <v>8.7382000000000009</v>
      </c>
      <c r="P1717" t="s">
        <v>33</v>
      </c>
      <c r="Q1717" s="1">
        <v>0</v>
      </c>
      <c r="R1717" t="s">
        <v>1272</v>
      </c>
      <c r="S1717" t="str">
        <f t="shared" si="13"/>
        <v>ko hợp</v>
      </c>
    </row>
    <row r="1718" spans="1:19" hidden="1" x14ac:dyDescent="0.3">
      <c r="A1718" t="s">
        <v>1253</v>
      </c>
      <c r="B1718" t="s">
        <v>1254</v>
      </c>
      <c r="C1718" t="s">
        <v>1224</v>
      </c>
      <c r="D1718">
        <v>19992</v>
      </c>
      <c r="E1718" t="s">
        <v>408</v>
      </c>
      <c r="F1718" t="s">
        <v>22</v>
      </c>
      <c r="G1718" t="s">
        <v>409</v>
      </c>
      <c r="H1718" t="s">
        <v>410</v>
      </c>
      <c r="I1718" t="s">
        <v>31</v>
      </c>
      <c r="J1718">
        <v>553</v>
      </c>
      <c r="K1718" t="s">
        <v>411</v>
      </c>
      <c r="N1718">
        <v>10</v>
      </c>
      <c r="O1718">
        <v>0.4249</v>
      </c>
      <c r="P1718" t="s">
        <v>38</v>
      </c>
      <c r="Q1718" s="1">
        <v>2</v>
      </c>
      <c r="R1718" t="s">
        <v>1272</v>
      </c>
      <c r="S1718" t="str">
        <f t="shared" si="13"/>
        <v>ok</v>
      </c>
    </row>
    <row r="1719" spans="1:19" hidden="1" x14ac:dyDescent="0.3">
      <c r="A1719" t="s">
        <v>1253</v>
      </c>
      <c r="B1719" t="s">
        <v>1254</v>
      </c>
      <c r="C1719" t="s">
        <v>1224</v>
      </c>
      <c r="D1719">
        <v>20185</v>
      </c>
      <c r="E1719" t="s">
        <v>885</v>
      </c>
      <c r="F1719" t="s">
        <v>842</v>
      </c>
      <c r="G1719" t="s">
        <v>886</v>
      </c>
      <c r="H1719" t="s">
        <v>887</v>
      </c>
      <c r="I1719" t="s">
        <v>31</v>
      </c>
      <c r="J1719">
        <v>674</v>
      </c>
      <c r="K1719" t="s">
        <v>888</v>
      </c>
      <c r="L1719">
        <v>10</v>
      </c>
      <c r="M1719">
        <v>8.4171999999999993</v>
      </c>
      <c r="P1719" t="s">
        <v>33</v>
      </c>
      <c r="Q1719" s="1">
        <v>0</v>
      </c>
      <c r="R1719" t="s">
        <v>1272</v>
      </c>
      <c r="S1719" t="str">
        <f t="shared" si="13"/>
        <v>ko hợp</v>
      </c>
    </row>
    <row r="1720" spans="1:19" hidden="1" x14ac:dyDescent="0.3">
      <c r="A1720" t="s">
        <v>1255</v>
      </c>
      <c r="B1720" t="s">
        <v>1256</v>
      </c>
      <c r="C1720" t="s">
        <v>1224</v>
      </c>
      <c r="D1720">
        <v>171</v>
      </c>
      <c r="E1720" t="s">
        <v>102</v>
      </c>
      <c r="F1720" t="s">
        <v>103</v>
      </c>
      <c r="G1720" t="s">
        <v>104</v>
      </c>
      <c r="H1720" t="s">
        <v>105</v>
      </c>
      <c r="I1720" t="s">
        <v>31</v>
      </c>
      <c r="J1720">
        <v>474</v>
      </c>
      <c r="K1720" t="s">
        <v>106</v>
      </c>
      <c r="N1720">
        <v>1</v>
      </c>
      <c r="O1720">
        <v>0.43530000000000002</v>
      </c>
      <c r="P1720" t="s">
        <v>38</v>
      </c>
      <c r="Q1720" s="1">
        <v>0</v>
      </c>
      <c r="R1720" t="s">
        <v>1272</v>
      </c>
      <c r="S1720" t="str">
        <f t="shared" si="13"/>
        <v>ko hợp</v>
      </c>
    </row>
    <row r="1721" spans="1:19" hidden="1" x14ac:dyDescent="0.3">
      <c r="A1721" t="s">
        <v>1255</v>
      </c>
      <c r="B1721" t="s">
        <v>1256</v>
      </c>
      <c r="C1721" t="s">
        <v>1224</v>
      </c>
      <c r="D1721">
        <v>19710</v>
      </c>
      <c r="E1721" t="s">
        <v>199</v>
      </c>
      <c r="F1721" t="s">
        <v>200</v>
      </c>
      <c r="G1721" t="s">
        <v>201</v>
      </c>
      <c r="H1721" t="s">
        <v>202</v>
      </c>
      <c r="I1721" t="s">
        <v>31</v>
      </c>
      <c r="J1721">
        <v>262</v>
      </c>
      <c r="K1721" t="s">
        <v>203</v>
      </c>
      <c r="L1721">
        <v>1</v>
      </c>
      <c r="M1721">
        <v>24.838999999999999</v>
      </c>
      <c r="P1721" t="s">
        <v>33</v>
      </c>
      <c r="Q1721" s="1">
        <v>0</v>
      </c>
      <c r="R1721" t="s">
        <v>1272</v>
      </c>
      <c r="S1721" t="str">
        <f t="shared" si="13"/>
        <v>ko hợp</v>
      </c>
    </row>
    <row r="1722" spans="1:19" hidden="1" x14ac:dyDescent="0.3">
      <c r="A1722" t="s">
        <v>1255</v>
      </c>
      <c r="B1722" t="s">
        <v>1256</v>
      </c>
      <c r="C1722" t="s">
        <v>1224</v>
      </c>
      <c r="D1722">
        <v>18831</v>
      </c>
      <c r="E1722" t="s">
        <v>841</v>
      </c>
      <c r="F1722" t="s">
        <v>842</v>
      </c>
      <c r="G1722" t="s">
        <v>41</v>
      </c>
      <c r="H1722" t="s">
        <v>843</v>
      </c>
      <c r="I1722" t="s">
        <v>31</v>
      </c>
      <c r="J1722">
        <v>565</v>
      </c>
      <c r="K1722" t="s">
        <v>844</v>
      </c>
      <c r="N1722">
        <v>2</v>
      </c>
      <c r="O1722">
        <v>0.43530000000000002</v>
      </c>
      <c r="P1722" t="s">
        <v>38</v>
      </c>
      <c r="Q1722" s="1">
        <v>0</v>
      </c>
      <c r="R1722" t="s">
        <v>1272</v>
      </c>
      <c r="S1722" t="str">
        <f t="shared" si="13"/>
        <v>ko hợp</v>
      </c>
    </row>
    <row r="1723" spans="1:19" hidden="1" x14ac:dyDescent="0.3">
      <c r="A1723" t="s">
        <v>1255</v>
      </c>
      <c r="B1723" t="s">
        <v>1256</v>
      </c>
      <c r="C1723" t="s">
        <v>1224</v>
      </c>
      <c r="D1723">
        <v>20772</v>
      </c>
      <c r="E1723" t="s">
        <v>292</v>
      </c>
      <c r="F1723" t="s">
        <v>293</v>
      </c>
      <c r="G1723" t="s">
        <v>41</v>
      </c>
      <c r="H1723" t="s">
        <v>294</v>
      </c>
      <c r="I1723" t="s">
        <v>25</v>
      </c>
      <c r="J1723">
        <v>787</v>
      </c>
      <c r="K1723" t="s">
        <v>295</v>
      </c>
      <c r="L1723">
        <v>2</v>
      </c>
      <c r="M1723">
        <v>16.287099999999999</v>
      </c>
      <c r="P1723" t="s">
        <v>33</v>
      </c>
      <c r="Q1723" s="1">
        <v>0</v>
      </c>
      <c r="R1723" t="s">
        <v>1272</v>
      </c>
      <c r="S1723" t="str">
        <f t="shared" si="13"/>
        <v>ko hợp</v>
      </c>
    </row>
    <row r="1724" spans="1:19" hidden="1" x14ac:dyDescent="0.3">
      <c r="A1724" t="s">
        <v>1255</v>
      </c>
      <c r="B1724" t="s">
        <v>1256</v>
      </c>
      <c r="C1724" t="s">
        <v>1224</v>
      </c>
      <c r="D1724">
        <v>15093</v>
      </c>
      <c r="E1724" t="s">
        <v>452</v>
      </c>
      <c r="F1724" t="s">
        <v>60</v>
      </c>
      <c r="G1724" t="s">
        <v>453</v>
      </c>
      <c r="H1724" t="s">
        <v>454</v>
      </c>
      <c r="I1724" t="s">
        <v>31</v>
      </c>
      <c r="J1724">
        <v>892</v>
      </c>
      <c r="K1724" t="s">
        <v>455</v>
      </c>
      <c r="N1724">
        <v>3</v>
      </c>
      <c r="O1724">
        <v>0.43369999999999997</v>
      </c>
      <c r="P1724" t="s">
        <v>38</v>
      </c>
      <c r="Q1724" s="1">
        <v>0</v>
      </c>
      <c r="R1724" t="s">
        <v>1272</v>
      </c>
      <c r="S1724" t="str">
        <f t="shared" si="13"/>
        <v>ko hợp</v>
      </c>
    </row>
    <row r="1725" spans="1:19" hidden="1" x14ac:dyDescent="0.3">
      <c r="A1725" t="s">
        <v>1255</v>
      </c>
      <c r="B1725" t="s">
        <v>1256</v>
      </c>
      <c r="C1725" t="s">
        <v>1224</v>
      </c>
      <c r="D1725">
        <v>19735</v>
      </c>
      <c r="E1725" t="s">
        <v>827</v>
      </c>
      <c r="F1725" t="s">
        <v>828</v>
      </c>
      <c r="G1725" t="s">
        <v>829</v>
      </c>
      <c r="H1725" t="s">
        <v>830</v>
      </c>
      <c r="I1725" t="s">
        <v>25</v>
      </c>
      <c r="J1725">
        <v>559</v>
      </c>
      <c r="K1725" t="s">
        <v>831</v>
      </c>
      <c r="L1725">
        <v>3</v>
      </c>
      <c r="M1725">
        <v>15.7553</v>
      </c>
      <c r="P1725" t="s">
        <v>33</v>
      </c>
      <c r="Q1725" s="1">
        <v>0</v>
      </c>
      <c r="R1725" t="s">
        <v>1272</v>
      </c>
      <c r="S1725" t="str">
        <f t="shared" si="13"/>
        <v>ko hợp</v>
      </c>
    </row>
    <row r="1726" spans="1:19" hidden="1" x14ac:dyDescent="0.3">
      <c r="A1726" t="s">
        <v>1255</v>
      </c>
      <c r="B1726" t="s">
        <v>1256</v>
      </c>
      <c r="C1726" t="s">
        <v>1224</v>
      </c>
      <c r="D1726">
        <v>14073</v>
      </c>
      <c r="E1726" t="s">
        <v>258</v>
      </c>
      <c r="F1726" t="s">
        <v>74</v>
      </c>
      <c r="G1726" t="s">
        <v>259</v>
      </c>
      <c r="H1726" t="s">
        <v>260</v>
      </c>
      <c r="I1726" t="s">
        <v>31</v>
      </c>
      <c r="J1726">
        <v>494</v>
      </c>
      <c r="K1726" t="s">
        <v>261</v>
      </c>
      <c r="N1726">
        <v>4</v>
      </c>
      <c r="O1726">
        <v>0.41199999999999998</v>
      </c>
      <c r="P1726" t="s">
        <v>38</v>
      </c>
      <c r="Q1726" s="1">
        <v>0</v>
      </c>
      <c r="R1726" t="s">
        <v>1272</v>
      </c>
      <c r="S1726" t="str">
        <f t="shared" si="13"/>
        <v>ko hợp</v>
      </c>
    </row>
    <row r="1727" spans="1:19" hidden="1" x14ac:dyDescent="0.3">
      <c r="A1727" t="s">
        <v>1255</v>
      </c>
      <c r="B1727" t="s">
        <v>1256</v>
      </c>
      <c r="C1727" t="s">
        <v>1224</v>
      </c>
      <c r="D1727">
        <v>19613</v>
      </c>
      <c r="E1727" t="s">
        <v>836</v>
      </c>
      <c r="F1727" t="s">
        <v>837</v>
      </c>
      <c r="G1727" t="s">
        <v>838</v>
      </c>
      <c r="H1727" t="s">
        <v>839</v>
      </c>
      <c r="I1727" t="s">
        <v>31</v>
      </c>
      <c r="J1727">
        <v>265</v>
      </c>
      <c r="K1727" t="s">
        <v>840</v>
      </c>
      <c r="L1727">
        <v>4</v>
      </c>
      <c r="M1727">
        <v>14.227499999999999</v>
      </c>
      <c r="P1727" t="s">
        <v>33</v>
      </c>
      <c r="Q1727" s="1">
        <v>0</v>
      </c>
      <c r="R1727" t="s">
        <v>1272</v>
      </c>
      <c r="S1727" t="str">
        <f t="shared" si="13"/>
        <v>ko hợp</v>
      </c>
    </row>
    <row r="1728" spans="1:19" hidden="1" x14ac:dyDescent="0.3">
      <c r="A1728" t="s">
        <v>1255</v>
      </c>
      <c r="B1728" t="s">
        <v>1256</v>
      </c>
      <c r="C1728" t="s">
        <v>1224</v>
      </c>
      <c r="D1728">
        <v>12737</v>
      </c>
      <c r="E1728" t="s">
        <v>588</v>
      </c>
      <c r="F1728" t="s">
        <v>22</v>
      </c>
      <c r="G1728" t="s">
        <v>589</v>
      </c>
      <c r="H1728" t="s">
        <v>590</v>
      </c>
      <c r="I1728" t="s">
        <v>31</v>
      </c>
      <c r="J1728">
        <v>1553</v>
      </c>
      <c r="K1728" t="s">
        <v>591</v>
      </c>
      <c r="L1728">
        <v>5</v>
      </c>
      <c r="M1728">
        <v>13.403499999999999</v>
      </c>
      <c r="P1728" t="s">
        <v>33</v>
      </c>
      <c r="Q1728" s="1">
        <v>0</v>
      </c>
      <c r="R1728" t="s">
        <v>1272</v>
      </c>
      <c r="S1728" t="str">
        <f t="shared" si="13"/>
        <v>ko hợp</v>
      </c>
    </row>
    <row r="1729" spans="1:19" hidden="1" x14ac:dyDescent="0.3">
      <c r="A1729" t="s">
        <v>1255</v>
      </c>
      <c r="B1729" t="s">
        <v>1256</v>
      </c>
      <c r="C1729" t="s">
        <v>1224</v>
      </c>
      <c r="D1729">
        <v>16145</v>
      </c>
      <c r="E1729" t="s">
        <v>182</v>
      </c>
      <c r="F1729" t="s">
        <v>155</v>
      </c>
      <c r="G1729" t="s">
        <v>183</v>
      </c>
      <c r="H1729" t="s">
        <v>184</v>
      </c>
      <c r="I1729" t="s">
        <v>31</v>
      </c>
      <c r="J1729">
        <v>2447</v>
      </c>
      <c r="K1729" t="s">
        <v>185</v>
      </c>
      <c r="N1729">
        <v>5</v>
      </c>
      <c r="O1729">
        <v>0.40770000000000001</v>
      </c>
      <c r="P1729" t="s">
        <v>38</v>
      </c>
      <c r="Q1729" s="1">
        <v>0</v>
      </c>
      <c r="R1729" t="s">
        <v>1272</v>
      </c>
      <c r="S1729" t="str">
        <f t="shared" si="13"/>
        <v>ko hợp</v>
      </c>
    </row>
    <row r="1730" spans="1:19" hidden="1" x14ac:dyDescent="0.3">
      <c r="A1730" t="s">
        <v>1255</v>
      </c>
      <c r="B1730" t="s">
        <v>1256</v>
      </c>
      <c r="C1730" t="s">
        <v>1224</v>
      </c>
      <c r="D1730">
        <v>15013</v>
      </c>
      <c r="E1730" t="s">
        <v>59</v>
      </c>
      <c r="F1730" t="s">
        <v>60</v>
      </c>
      <c r="G1730" t="s">
        <v>61</v>
      </c>
      <c r="H1730" t="s">
        <v>62</v>
      </c>
      <c r="I1730" t="s">
        <v>25</v>
      </c>
      <c r="J1730">
        <v>550</v>
      </c>
      <c r="K1730" t="s">
        <v>63</v>
      </c>
      <c r="N1730">
        <v>6</v>
      </c>
      <c r="O1730">
        <v>0.40710000000000002</v>
      </c>
      <c r="P1730" t="s">
        <v>38</v>
      </c>
      <c r="Q1730" s="1">
        <v>0</v>
      </c>
      <c r="R1730" t="s">
        <v>1272</v>
      </c>
      <c r="S1730" t="str">
        <f t="shared" si="13"/>
        <v>ko hợp</v>
      </c>
    </row>
    <row r="1731" spans="1:19" hidden="1" x14ac:dyDescent="0.3">
      <c r="A1731" t="s">
        <v>1255</v>
      </c>
      <c r="B1731" t="s">
        <v>1256</v>
      </c>
      <c r="C1731" t="s">
        <v>1224</v>
      </c>
      <c r="D1731">
        <v>20650</v>
      </c>
      <c r="E1731" t="s">
        <v>309</v>
      </c>
      <c r="F1731" t="s">
        <v>60</v>
      </c>
      <c r="G1731" t="s">
        <v>310</v>
      </c>
      <c r="H1731" t="s">
        <v>311</v>
      </c>
      <c r="I1731" t="s">
        <v>25</v>
      </c>
      <c r="J1731">
        <v>878</v>
      </c>
      <c r="K1731" t="s">
        <v>312</v>
      </c>
      <c r="L1731">
        <v>6</v>
      </c>
      <c r="M1731">
        <v>13.0944</v>
      </c>
      <c r="P1731" t="s">
        <v>33</v>
      </c>
      <c r="Q1731" s="1">
        <v>0</v>
      </c>
      <c r="R1731" t="s">
        <v>1272</v>
      </c>
      <c r="S1731" t="str">
        <f t="shared" si="13"/>
        <v>ko hợp</v>
      </c>
    </row>
    <row r="1732" spans="1:19" hidden="1" x14ac:dyDescent="0.3">
      <c r="A1732" t="s">
        <v>1255</v>
      </c>
      <c r="B1732" t="s">
        <v>1256</v>
      </c>
      <c r="C1732" t="s">
        <v>1224</v>
      </c>
      <c r="D1732">
        <v>11918</v>
      </c>
      <c r="E1732" t="s">
        <v>133</v>
      </c>
      <c r="F1732" t="s">
        <v>60</v>
      </c>
      <c r="G1732" t="s">
        <v>134</v>
      </c>
      <c r="H1732" t="s">
        <v>135</v>
      </c>
      <c r="I1732" t="s">
        <v>25</v>
      </c>
      <c r="J1732">
        <v>3604</v>
      </c>
      <c r="K1732" t="s">
        <v>136</v>
      </c>
      <c r="L1732">
        <v>7</v>
      </c>
      <c r="M1732">
        <v>12.7765</v>
      </c>
      <c r="P1732" t="s">
        <v>33</v>
      </c>
      <c r="Q1732" s="1">
        <v>2</v>
      </c>
      <c r="R1732" t="s">
        <v>1272</v>
      </c>
      <c r="S1732" t="str">
        <f t="shared" si="13"/>
        <v>ok</v>
      </c>
    </row>
    <row r="1733" spans="1:19" hidden="1" x14ac:dyDescent="0.3">
      <c r="A1733" t="s">
        <v>1255</v>
      </c>
      <c r="B1733" t="s">
        <v>1256</v>
      </c>
      <c r="C1733" t="s">
        <v>1224</v>
      </c>
      <c r="D1733">
        <v>13514</v>
      </c>
      <c r="E1733" t="s">
        <v>64</v>
      </c>
      <c r="F1733" t="s">
        <v>60</v>
      </c>
      <c r="G1733" t="s">
        <v>65</v>
      </c>
      <c r="H1733" t="s">
        <v>66</v>
      </c>
      <c r="I1733" t="s">
        <v>31</v>
      </c>
      <c r="J1733">
        <v>587</v>
      </c>
      <c r="K1733" t="s">
        <v>67</v>
      </c>
      <c r="N1733">
        <v>7</v>
      </c>
      <c r="O1733">
        <v>0.40679999999999999</v>
      </c>
      <c r="P1733" t="s">
        <v>38</v>
      </c>
      <c r="Q1733" s="1">
        <v>0</v>
      </c>
      <c r="R1733" t="s">
        <v>1272</v>
      </c>
      <c r="S1733" t="str">
        <f t="shared" si="13"/>
        <v>ko hợp</v>
      </c>
    </row>
    <row r="1734" spans="1:19" hidden="1" x14ac:dyDescent="0.3">
      <c r="A1734" t="s">
        <v>1255</v>
      </c>
      <c r="B1734" t="s">
        <v>1256</v>
      </c>
      <c r="C1734" t="s">
        <v>1224</v>
      </c>
      <c r="D1734">
        <v>16290</v>
      </c>
      <c r="E1734" t="s">
        <v>799</v>
      </c>
      <c r="F1734" t="s">
        <v>74</v>
      </c>
      <c r="G1734" t="s">
        <v>800</v>
      </c>
      <c r="H1734" t="s">
        <v>801</v>
      </c>
      <c r="I1734" t="s">
        <v>25</v>
      </c>
      <c r="J1734">
        <v>511</v>
      </c>
      <c r="K1734" t="s">
        <v>802</v>
      </c>
      <c r="N1734">
        <v>8</v>
      </c>
      <c r="O1734">
        <v>0.40660000000000002</v>
      </c>
      <c r="P1734" t="s">
        <v>38</v>
      </c>
      <c r="Q1734" s="1">
        <v>0</v>
      </c>
      <c r="R1734" t="s">
        <v>1272</v>
      </c>
      <c r="S1734" t="str">
        <f t="shared" si="13"/>
        <v>ko hợp</v>
      </c>
    </row>
    <row r="1735" spans="1:19" hidden="1" x14ac:dyDescent="0.3">
      <c r="A1735" t="s">
        <v>1255</v>
      </c>
      <c r="B1735" t="s">
        <v>1256</v>
      </c>
      <c r="C1735" t="s">
        <v>1224</v>
      </c>
      <c r="D1735">
        <v>19312</v>
      </c>
      <c r="E1735" t="s">
        <v>321</v>
      </c>
      <c r="F1735" t="s">
        <v>322</v>
      </c>
      <c r="G1735" t="s">
        <v>323</v>
      </c>
      <c r="H1735" t="s">
        <v>324</v>
      </c>
      <c r="I1735" t="s">
        <v>31</v>
      </c>
      <c r="J1735">
        <v>2453</v>
      </c>
      <c r="K1735" t="s">
        <v>325</v>
      </c>
      <c r="L1735">
        <v>8</v>
      </c>
      <c r="M1735">
        <v>12.404500000000001</v>
      </c>
      <c r="P1735" t="s">
        <v>33</v>
      </c>
      <c r="Q1735" s="1">
        <v>0</v>
      </c>
      <c r="R1735" t="s">
        <v>1272</v>
      </c>
      <c r="S1735" t="str">
        <f t="shared" si="13"/>
        <v>ko hợp</v>
      </c>
    </row>
    <row r="1736" spans="1:19" hidden="1" x14ac:dyDescent="0.3">
      <c r="A1736" t="s">
        <v>1255</v>
      </c>
      <c r="B1736" t="s">
        <v>1256</v>
      </c>
      <c r="C1736" t="s">
        <v>1224</v>
      </c>
      <c r="D1736">
        <v>13532</v>
      </c>
      <c r="E1736" t="s">
        <v>967</v>
      </c>
      <c r="F1736" t="s">
        <v>288</v>
      </c>
      <c r="G1736" t="s">
        <v>968</v>
      </c>
      <c r="H1736" t="s">
        <v>969</v>
      </c>
      <c r="I1736" t="s">
        <v>31</v>
      </c>
      <c r="J1736">
        <v>622</v>
      </c>
      <c r="K1736" t="s">
        <v>970</v>
      </c>
      <c r="L1736">
        <v>9</v>
      </c>
      <c r="M1736">
        <v>12.359</v>
      </c>
      <c r="P1736" t="s">
        <v>33</v>
      </c>
      <c r="Q1736" s="1">
        <v>0</v>
      </c>
      <c r="R1736" t="s">
        <v>1272</v>
      </c>
      <c r="S1736" t="str">
        <f t="shared" si="13"/>
        <v>ko hợp</v>
      </c>
    </row>
    <row r="1737" spans="1:19" hidden="1" x14ac:dyDescent="0.3">
      <c r="A1737" t="s">
        <v>1255</v>
      </c>
      <c r="B1737" t="s">
        <v>1256</v>
      </c>
      <c r="C1737" t="s">
        <v>1224</v>
      </c>
      <c r="D1737">
        <v>19775</v>
      </c>
      <c r="E1737" t="s">
        <v>456</v>
      </c>
      <c r="F1737" t="s">
        <v>457</v>
      </c>
      <c r="G1737" t="s">
        <v>458</v>
      </c>
      <c r="H1737" t="s">
        <v>459</v>
      </c>
      <c r="I1737" t="s">
        <v>25</v>
      </c>
      <c r="J1737">
        <v>325</v>
      </c>
      <c r="K1737" t="s">
        <v>460</v>
      </c>
      <c r="N1737">
        <v>9</v>
      </c>
      <c r="O1737">
        <v>0.40589999999999998</v>
      </c>
      <c r="P1737" t="s">
        <v>38</v>
      </c>
      <c r="Q1737" s="1">
        <v>0</v>
      </c>
      <c r="R1737" t="s">
        <v>1272</v>
      </c>
      <c r="S1737" t="str">
        <f t="shared" si="13"/>
        <v>ko hợp</v>
      </c>
    </row>
    <row r="1738" spans="1:19" hidden="1" x14ac:dyDescent="0.3">
      <c r="A1738" t="s">
        <v>1255</v>
      </c>
      <c r="B1738" t="s">
        <v>1256</v>
      </c>
      <c r="C1738" t="s">
        <v>1224</v>
      </c>
      <c r="D1738">
        <v>18262</v>
      </c>
      <c r="E1738" t="s">
        <v>141</v>
      </c>
      <c r="F1738" t="s">
        <v>142</v>
      </c>
      <c r="G1738" t="s">
        <v>143</v>
      </c>
      <c r="H1738" t="s">
        <v>144</v>
      </c>
      <c r="I1738" t="s">
        <v>25</v>
      </c>
      <c r="J1738">
        <v>426</v>
      </c>
      <c r="K1738" t="s">
        <v>145</v>
      </c>
      <c r="N1738">
        <v>10</v>
      </c>
      <c r="O1738">
        <v>0.39939999999999998</v>
      </c>
      <c r="P1738" t="s">
        <v>38</v>
      </c>
      <c r="Q1738" s="1">
        <v>0</v>
      </c>
      <c r="R1738" t="s">
        <v>1272</v>
      </c>
      <c r="S1738" t="str">
        <f t="shared" si="13"/>
        <v>ko hợp</v>
      </c>
    </row>
    <row r="1739" spans="1:19" hidden="1" x14ac:dyDescent="0.3">
      <c r="A1739" t="s">
        <v>1255</v>
      </c>
      <c r="B1739" t="s">
        <v>1256</v>
      </c>
      <c r="C1739" t="s">
        <v>1224</v>
      </c>
      <c r="D1739">
        <v>20801</v>
      </c>
      <c r="E1739" t="s">
        <v>724</v>
      </c>
      <c r="F1739" t="s">
        <v>725</v>
      </c>
      <c r="G1739" t="s">
        <v>726</v>
      </c>
      <c r="H1739" t="s">
        <v>727</v>
      </c>
      <c r="I1739" t="s">
        <v>25</v>
      </c>
      <c r="J1739">
        <v>853</v>
      </c>
      <c r="K1739" t="s">
        <v>728</v>
      </c>
      <c r="L1739">
        <v>10</v>
      </c>
      <c r="M1739">
        <v>12.0235</v>
      </c>
      <c r="P1739" t="s">
        <v>33</v>
      </c>
      <c r="Q1739" s="1">
        <v>0</v>
      </c>
      <c r="R1739" t="s">
        <v>1272</v>
      </c>
      <c r="S1739" t="str">
        <f t="shared" si="13"/>
        <v>ko hợp</v>
      </c>
    </row>
    <row r="1740" spans="1:19" hidden="1" x14ac:dyDescent="0.3">
      <c r="A1740" t="s">
        <v>1257</v>
      </c>
      <c r="B1740" t="s">
        <v>1258</v>
      </c>
      <c r="C1740" t="s">
        <v>1224</v>
      </c>
      <c r="D1740">
        <v>11553</v>
      </c>
      <c r="E1740" t="s">
        <v>623</v>
      </c>
      <c r="F1740" t="s">
        <v>60</v>
      </c>
      <c r="G1740" t="s">
        <v>624</v>
      </c>
      <c r="H1740" t="s">
        <v>625</v>
      </c>
      <c r="I1740" t="s">
        <v>31</v>
      </c>
      <c r="J1740">
        <v>489</v>
      </c>
      <c r="K1740" t="s">
        <v>626</v>
      </c>
      <c r="L1740">
        <v>1</v>
      </c>
      <c r="M1740">
        <v>16.739899999999999</v>
      </c>
      <c r="P1740" t="s">
        <v>33</v>
      </c>
      <c r="Q1740" s="1">
        <v>0</v>
      </c>
      <c r="R1740" t="s">
        <v>1272</v>
      </c>
      <c r="S1740" t="str">
        <f t="shared" si="13"/>
        <v>ko hợp</v>
      </c>
    </row>
    <row r="1741" spans="1:19" hidden="1" x14ac:dyDescent="0.3">
      <c r="A1741" t="s">
        <v>1257</v>
      </c>
      <c r="B1741" t="s">
        <v>1258</v>
      </c>
      <c r="C1741" t="s">
        <v>1224</v>
      </c>
      <c r="D1741">
        <v>14684</v>
      </c>
      <c r="E1741" t="s">
        <v>847</v>
      </c>
      <c r="F1741" t="s">
        <v>60</v>
      </c>
      <c r="G1741" t="s">
        <v>61</v>
      </c>
      <c r="H1741" t="s">
        <v>848</v>
      </c>
      <c r="I1741" t="s">
        <v>25</v>
      </c>
      <c r="J1741">
        <v>1309</v>
      </c>
      <c r="K1741" t="s">
        <v>849</v>
      </c>
      <c r="N1741">
        <v>1</v>
      </c>
      <c r="O1741">
        <v>0.48120000000000002</v>
      </c>
      <c r="P1741" t="s">
        <v>38</v>
      </c>
      <c r="Q1741" s="1">
        <v>0</v>
      </c>
      <c r="R1741" t="s">
        <v>1272</v>
      </c>
      <c r="S1741" t="str">
        <f t="shared" ref="S1741:S1804" si="14">IF(Q1741=2,"ok",IF(Q1741=1,"Phù hợp 1 phần", "ko hợp"))</f>
        <v>ko hợp</v>
      </c>
    </row>
    <row r="1742" spans="1:19" hidden="1" x14ac:dyDescent="0.3">
      <c r="A1742" t="s">
        <v>1257</v>
      </c>
      <c r="B1742" t="s">
        <v>1258</v>
      </c>
      <c r="C1742" t="s">
        <v>1224</v>
      </c>
      <c r="D1742">
        <v>15013</v>
      </c>
      <c r="E1742" t="s">
        <v>59</v>
      </c>
      <c r="F1742" t="s">
        <v>60</v>
      </c>
      <c r="G1742" t="s">
        <v>61</v>
      </c>
      <c r="H1742" t="s">
        <v>62</v>
      </c>
      <c r="I1742" t="s">
        <v>25</v>
      </c>
      <c r="J1742">
        <v>550</v>
      </c>
      <c r="K1742" t="s">
        <v>63</v>
      </c>
      <c r="N1742">
        <v>2</v>
      </c>
      <c r="O1742">
        <v>0.45579999999999998</v>
      </c>
      <c r="P1742" t="s">
        <v>38</v>
      </c>
      <c r="Q1742" s="1">
        <v>1</v>
      </c>
      <c r="R1742" t="s">
        <v>1272</v>
      </c>
      <c r="S1742" t="str">
        <f t="shared" si="14"/>
        <v>Phù hợp 1 phần</v>
      </c>
    </row>
    <row r="1743" spans="1:19" hidden="1" x14ac:dyDescent="0.3">
      <c r="A1743" t="s">
        <v>1257</v>
      </c>
      <c r="B1743" t="s">
        <v>1258</v>
      </c>
      <c r="C1743" t="s">
        <v>1224</v>
      </c>
      <c r="D1743">
        <v>19019</v>
      </c>
      <c r="E1743" t="s">
        <v>296</v>
      </c>
      <c r="F1743" t="s">
        <v>297</v>
      </c>
      <c r="G1743" t="s">
        <v>298</v>
      </c>
      <c r="H1743" t="s">
        <v>299</v>
      </c>
      <c r="I1743" t="s">
        <v>25</v>
      </c>
      <c r="J1743">
        <v>999</v>
      </c>
      <c r="K1743" t="s">
        <v>300</v>
      </c>
      <c r="L1743">
        <v>2</v>
      </c>
      <c r="M1743">
        <v>15.798400000000001</v>
      </c>
      <c r="P1743" t="s">
        <v>33</v>
      </c>
      <c r="Q1743" s="1">
        <v>0</v>
      </c>
      <c r="R1743" t="s">
        <v>1272</v>
      </c>
      <c r="S1743" t="str">
        <f t="shared" si="14"/>
        <v>ko hợp</v>
      </c>
    </row>
    <row r="1744" spans="1:19" hidden="1" x14ac:dyDescent="0.3">
      <c r="A1744" t="s">
        <v>1257</v>
      </c>
      <c r="B1744" t="s">
        <v>1258</v>
      </c>
      <c r="C1744" t="s">
        <v>1224</v>
      </c>
      <c r="D1744">
        <v>9820</v>
      </c>
      <c r="E1744" t="s">
        <v>150</v>
      </c>
      <c r="F1744" t="s">
        <v>60</v>
      </c>
      <c r="G1744" t="s">
        <v>151</v>
      </c>
      <c r="H1744" t="s">
        <v>152</v>
      </c>
      <c r="I1744" t="s">
        <v>25</v>
      </c>
      <c r="J1744">
        <v>2512</v>
      </c>
      <c r="K1744" t="s">
        <v>153</v>
      </c>
      <c r="N1744">
        <v>3</v>
      </c>
      <c r="O1744">
        <v>0.44700000000000001</v>
      </c>
      <c r="P1744" t="s">
        <v>38</v>
      </c>
      <c r="Q1744" s="1">
        <v>0</v>
      </c>
      <c r="R1744" t="s">
        <v>1272</v>
      </c>
      <c r="S1744" t="str">
        <f t="shared" si="14"/>
        <v>ko hợp</v>
      </c>
    </row>
    <row r="1745" spans="1:19" hidden="1" x14ac:dyDescent="0.3">
      <c r="A1745" t="s">
        <v>1257</v>
      </c>
      <c r="B1745" t="s">
        <v>1258</v>
      </c>
      <c r="C1745" t="s">
        <v>1224</v>
      </c>
      <c r="D1745">
        <v>18457</v>
      </c>
      <c r="E1745" t="s">
        <v>986</v>
      </c>
      <c r="F1745" t="s">
        <v>987</v>
      </c>
      <c r="G1745" t="s">
        <v>988</v>
      </c>
      <c r="H1745" t="s">
        <v>989</v>
      </c>
      <c r="I1745" t="s">
        <v>31</v>
      </c>
      <c r="J1745">
        <v>3005</v>
      </c>
      <c r="K1745" t="s">
        <v>990</v>
      </c>
      <c r="L1745">
        <v>3</v>
      </c>
      <c r="M1745">
        <v>14.546099999999999</v>
      </c>
      <c r="P1745" t="s">
        <v>33</v>
      </c>
      <c r="Q1745" s="1">
        <v>2</v>
      </c>
      <c r="R1745" t="s">
        <v>1272</v>
      </c>
      <c r="S1745" t="str">
        <f t="shared" si="14"/>
        <v>ok</v>
      </c>
    </row>
    <row r="1746" spans="1:19" hidden="1" x14ac:dyDescent="0.3">
      <c r="A1746" t="s">
        <v>1257</v>
      </c>
      <c r="B1746" t="s">
        <v>1258</v>
      </c>
      <c r="C1746" t="s">
        <v>1224</v>
      </c>
      <c r="D1746">
        <v>15905</v>
      </c>
      <c r="E1746" t="s">
        <v>262</v>
      </c>
      <c r="F1746" t="s">
        <v>60</v>
      </c>
      <c r="G1746" t="s">
        <v>263</v>
      </c>
      <c r="H1746" t="s">
        <v>264</v>
      </c>
      <c r="I1746" t="s">
        <v>31</v>
      </c>
      <c r="J1746">
        <v>772</v>
      </c>
      <c r="K1746" t="s">
        <v>265</v>
      </c>
      <c r="L1746">
        <v>4</v>
      </c>
      <c r="M1746">
        <v>14.151899999999999</v>
      </c>
      <c r="P1746" t="s">
        <v>33</v>
      </c>
      <c r="Q1746" s="1">
        <v>0</v>
      </c>
      <c r="R1746" t="s">
        <v>1272</v>
      </c>
      <c r="S1746" t="str">
        <f t="shared" si="14"/>
        <v>ko hợp</v>
      </c>
    </row>
    <row r="1747" spans="1:19" hidden="1" x14ac:dyDescent="0.3">
      <c r="A1747" t="s">
        <v>1257</v>
      </c>
      <c r="B1747" t="s">
        <v>1258</v>
      </c>
      <c r="C1747" t="s">
        <v>1224</v>
      </c>
      <c r="D1747">
        <v>20472</v>
      </c>
      <c r="E1747" t="s">
        <v>487</v>
      </c>
      <c r="F1747" t="s">
        <v>60</v>
      </c>
      <c r="G1747" t="s">
        <v>488</v>
      </c>
      <c r="H1747" t="s">
        <v>489</v>
      </c>
      <c r="I1747" t="s">
        <v>25</v>
      </c>
      <c r="J1747">
        <v>579</v>
      </c>
      <c r="K1747" t="s">
        <v>490</v>
      </c>
      <c r="N1747">
        <v>4</v>
      </c>
      <c r="O1747">
        <v>0.42480000000000001</v>
      </c>
      <c r="P1747" t="s">
        <v>38</v>
      </c>
      <c r="Q1747" s="1">
        <v>1</v>
      </c>
      <c r="R1747" t="s">
        <v>1272</v>
      </c>
      <c r="S1747" t="str">
        <f t="shared" si="14"/>
        <v>Phù hợp 1 phần</v>
      </c>
    </row>
    <row r="1748" spans="1:19" hidden="1" x14ac:dyDescent="0.3">
      <c r="A1748" t="s">
        <v>1257</v>
      </c>
      <c r="B1748" t="s">
        <v>1258</v>
      </c>
      <c r="C1748" t="s">
        <v>1224</v>
      </c>
      <c r="D1748">
        <v>13561</v>
      </c>
      <c r="E1748" t="s">
        <v>832</v>
      </c>
      <c r="F1748" t="s">
        <v>60</v>
      </c>
      <c r="G1748" t="s">
        <v>833</v>
      </c>
      <c r="H1748" t="s">
        <v>834</v>
      </c>
      <c r="I1748" t="s">
        <v>31</v>
      </c>
      <c r="J1748">
        <v>498</v>
      </c>
      <c r="K1748" t="s">
        <v>835</v>
      </c>
      <c r="L1748">
        <v>5</v>
      </c>
      <c r="M1748">
        <v>13.781599999999999</v>
      </c>
      <c r="P1748" t="s">
        <v>33</v>
      </c>
      <c r="Q1748" s="1">
        <v>1</v>
      </c>
      <c r="R1748" t="s">
        <v>1272</v>
      </c>
      <c r="S1748" t="str">
        <f t="shared" si="14"/>
        <v>Phù hợp 1 phần</v>
      </c>
    </row>
    <row r="1749" spans="1:19" hidden="1" x14ac:dyDescent="0.3">
      <c r="A1749" t="s">
        <v>1257</v>
      </c>
      <c r="B1749" t="s">
        <v>1258</v>
      </c>
      <c r="C1749" t="s">
        <v>1224</v>
      </c>
      <c r="D1749">
        <v>13739</v>
      </c>
      <c r="E1749" t="s">
        <v>358</v>
      </c>
      <c r="F1749" t="s">
        <v>288</v>
      </c>
      <c r="G1749" t="s">
        <v>359</v>
      </c>
      <c r="H1749" t="s">
        <v>360</v>
      </c>
      <c r="I1749" t="s">
        <v>31</v>
      </c>
      <c r="J1749">
        <v>610</v>
      </c>
      <c r="K1749" t="s">
        <v>361</v>
      </c>
      <c r="N1749">
        <v>5</v>
      </c>
      <c r="O1749">
        <v>0.42370000000000002</v>
      </c>
      <c r="P1749" t="s">
        <v>38</v>
      </c>
      <c r="Q1749" s="1">
        <v>0</v>
      </c>
      <c r="R1749" t="s">
        <v>1272</v>
      </c>
      <c r="S1749" t="str">
        <f t="shared" si="14"/>
        <v>ko hợp</v>
      </c>
    </row>
    <row r="1750" spans="1:19" hidden="1" x14ac:dyDescent="0.3">
      <c r="A1750" t="s">
        <v>1257</v>
      </c>
      <c r="B1750" t="s">
        <v>1258</v>
      </c>
      <c r="C1750" t="s">
        <v>1224</v>
      </c>
      <c r="D1750">
        <v>18831</v>
      </c>
      <c r="E1750" t="s">
        <v>841</v>
      </c>
      <c r="F1750" t="s">
        <v>842</v>
      </c>
      <c r="G1750" t="s">
        <v>41</v>
      </c>
      <c r="H1750" t="s">
        <v>843</v>
      </c>
      <c r="I1750" t="s">
        <v>31</v>
      </c>
      <c r="J1750">
        <v>565</v>
      </c>
      <c r="K1750" t="s">
        <v>844</v>
      </c>
      <c r="N1750">
        <v>6</v>
      </c>
      <c r="O1750">
        <v>0.42220000000000002</v>
      </c>
      <c r="P1750" t="s">
        <v>38</v>
      </c>
      <c r="Q1750" s="1">
        <v>0</v>
      </c>
      <c r="R1750" t="s">
        <v>1272</v>
      </c>
      <c r="S1750" t="str">
        <f t="shared" si="14"/>
        <v>ko hợp</v>
      </c>
    </row>
    <row r="1751" spans="1:19" hidden="1" x14ac:dyDescent="0.3">
      <c r="A1751" t="s">
        <v>1257</v>
      </c>
      <c r="B1751" t="s">
        <v>1258</v>
      </c>
      <c r="C1751" t="s">
        <v>1224</v>
      </c>
      <c r="D1751">
        <v>18864</v>
      </c>
      <c r="E1751" t="s">
        <v>1259</v>
      </c>
      <c r="F1751" t="s">
        <v>60</v>
      </c>
      <c r="G1751" t="s">
        <v>61</v>
      </c>
      <c r="H1751" t="s">
        <v>1260</v>
      </c>
      <c r="I1751" t="s">
        <v>31</v>
      </c>
      <c r="J1751">
        <v>592</v>
      </c>
      <c r="K1751" t="s">
        <v>1261</v>
      </c>
      <c r="L1751">
        <v>6</v>
      </c>
      <c r="M1751">
        <v>13.3508</v>
      </c>
      <c r="P1751" t="s">
        <v>33</v>
      </c>
      <c r="Q1751" s="1">
        <v>2</v>
      </c>
      <c r="R1751" t="s">
        <v>1272</v>
      </c>
      <c r="S1751" t="str">
        <f t="shared" si="14"/>
        <v>ok</v>
      </c>
    </row>
    <row r="1752" spans="1:19" hidden="1" x14ac:dyDescent="0.3">
      <c r="A1752" t="s">
        <v>1257</v>
      </c>
      <c r="B1752" t="s">
        <v>1258</v>
      </c>
      <c r="C1752" t="s">
        <v>1224</v>
      </c>
      <c r="D1752">
        <v>6637</v>
      </c>
      <c r="E1752" t="s">
        <v>735</v>
      </c>
      <c r="F1752" t="s">
        <v>60</v>
      </c>
      <c r="G1752" t="s">
        <v>736</v>
      </c>
      <c r="H1752" t="s">
        <v>737</v>
      </c>
      <c r="I1752" t="s">
        <v>25</v>
      </c>
      <c r="J1752">
        <v>1382</v>
      </c>
      <c r="K1752" t="s">
        <v>738</v>
      </c>
      <c r="N1752">
        <v>7</v>
      </c>
      <c r="O1752">
        <v>0.41749999999999998</v>
      </c>
      <c r="P1752" t="s">
        <v>38</v>
      </c>
      <c r="Q1752" s="1">
        <v>0</v>
      </c>
      <c r="R1752" t="s">
        <v>1272</v>
      </c>
      <c r="S1752" t="str">
        <f t="shared" si="14"/>
        <v>ko hợp</v>
      </c>
    </row>
    <row r="1753" spans="1:19" hidden="1" x14ac:dyDescent="0.3">
      <c r="A1753" t="s">
        <v>1257</v>
      </c>
      <c r="B1753" t="s">
        <v>1258</v>
      </c>
      <c r="C1753" t="s">
        <v>1224</v>
      </c>
      <c r="D1753">
        <v>13623</v>
      </c>
      <c r="E1753" t="s">
        <v>548</v>
      </c>
      <c r="F1753" t="s">
        <v>60</v>
      </c>
      <c r="G1753" t="s">
        <v>318</v>
      </c>
      <c r="H1753" t="s">
        <v>549</v>
      </c>
      <c r="I1753" t="s">
        <v>31</v>
      </c>
      <c r="J1753">
        <v>509</v>
      </c>
      <c r="K1753" t="s">
        <v>550</v>
      </c>
      <c r="L1753">
        <v>7</v>
      </c>
      <c r="M1753">
        <v>12.5688</v>
      </c>
      <c r="P1753" t="s">
        <v>33</v>
      </c>
      <c r="Q1753" s="1">
        <v>0</v>
      </c>
      <c r="R1753" t="s">
        <v>1272</v>
      </c>
      <c r="S1753" t="str">
        <f t="shared" si="14"/>
        <v>ko hợp</v>
      </c>
    </row>
    <row r="1754" spans="1:19" hidden="1" x14ac:dyDescent="0.3">
      <c r="A1754" t="s">
        <v>1257</v>
      </c>
      <c r="B1754" t="s">
        <v>1258</v>
      </c>
      <c r="C1754" t="s">
        <v>1224</v>
      </c>
      <c r="D1754">
        <v>12674</v>
      </c>
      <c r="E1754" t="s">
        <v>653</v>
      </c>
      <c r="F1754" t="s">
        <v>155</v>
      </c>
      <c r="G1754" t="s">
        <v>654</v>
      </c>
      <c r="H1754" t="s">
        <v>655</v>
      </c>
      <c r="I1754" t="s">
        <v>31</v>
      </c>
      <c r="J1754">
        <v>587</v>
      </c>
      <c r="K1754" t="s">
        <v>656</v>
      </c>
      <c r="L1754">
        <v>8</v>
      </c>
      <c r="M1754">
        <v>12.384600000000001</v>
      </c>
      <c r="P1754" t="s">
        <v>33</v>
      </c>
      <c r="Q1754" s="1">
        <v>0</v>
      </c>
      <c r="R1754" t="s">
        <v>1272</v>
      </c>
      <c r="S1754" t="str">
        <f t="shared" si="14"/>
        <v>ko hợp</v>
      </c>
    </row>
    <row r="1755" spans="1:19" hidden="1" x14ac:dyDescent="0.3">
      <c r="A1755" t="s">
        <v>1257</v>
      </c>
      <c r="B1755" t="s">
        <v>1258</v>
      </c>
      <c r="C1755" t="s">
        <v>1224</v>
      </c>
      <c r="D1755">
        <v>18885</v>
      </c>
      <c r="E1755" t="s">
        <v>86</v>
      </c>
      <c r="F1755" t="s">
        <v>60</v>
      </c>
      <c r="G1755" t="s">
        <v>87</v>
      </c>
      <c r="H1755" t="s">
        <v>88</v>
      </c>
      <c r="I1755" t="s">
        <v>31</v>
      </c>
      <c r="J1755">
        <v>596</v>
      </c>
      <c r="K1755" t="s">
        <v>89</v>
      </c>
      <c r="N1755">
        <v>8</v>
      </c>
      <c r="O1755">
        <v>0.41410000000000002</v>
      </c>
      <c r="P1755" t="s">
        <v>38</v>
      </c>
      <c r="Q1755" s="1">
        <v>2</v>
      </c>
      <c r="R1755" t="s">
        <v>1272</v>
      </c>
      <c r="S1755" t="str">
        <f t="shared" si="14"/>
        <v>ok</v>
      </c>
    </row>
    <row r="1756" spans="1:19" hidden="1" x14ac:dyDescent="0.3">
      <c r="A1756" t="s">
        <v>1257</v>
      </c>
      <c r="B1756" t="s">
        <v>1258</v>
      </c>
      <c r="C1756" t="s">
        <v>1224</v>
      </c>
      <c r="D1756">
        <v>13237</v>
      </c>
      <c r="E1756" t="s">
        <v>137</v>
      </c>
      <c r="F1756" t="s">
        <v>60</v>
      </c>
      <c r="G1756" t="s">
        <v>138</v>
      </c>
      <c r="H1756" t="s">
        <v>139</v>
      </c>
      <c r="I1756" t="s">
        <v>31</v>
      </c>
      <c r="J1756">
        <v>1213</v>
      </c>
      <c r="K1756" t="s">
        <v>140</v>
      </c>
      <c r="L1756">
        <v>9</v>
      </c>
      <c r="M1756">
        <v>12.257199999999999</v>
      </c>
      <c r="P1756" t="s">
        <v>33</v>
      </c>
      <c r="Q1756" s="1">
        <v>1</v>
      </c>
      <c r="R1756" t="s">
        <v>1272</v>
      </c>
      <c r="S1756" t="str">
        <f t="shared" si="14"/>
        <v>Phù hợp 1 phần</v>
      </c>
    </row>
    <row r="1757" spans="1:19" hidden="1" x14ac:dyDescent="0.3">
      <c r="A1757" t="s">
        <v>1257</v>
      </c>
      <c r="B1757" t="s">
        <v>1258</v>
      </c>
      <c r="C1757" t="s">
        <v>1224</v>
      </c>
      <c r="D1757">
        <v>16537</v>
      </c>
      <c r="E1757" t="s">
        <v>899</v>
      </c>
      <c r="F1757" t="s">
        <v>22</v>
      </c>
      <c r="G1757" t="s">
        <v>822</v>
      </c>
      <c r="H1757" t="s">
        <v>900</v>
      </c>
      <c r="I1757" t="s">
        <v>31</v>
      </c>
      <c r="J1757">
        <v>712</v>
      </c>
      <c r="K1757" t="s">
        <v>901</v>
      </c>
      <c r="N1757">
        <v>9</v>
      </c>
      <c r="O1757">
        <v>0.4128</v>
      </c>
      <c r="P1757" t="s">
        <v>38</v>
      </c>
      <c r="Q1757" s="1">
        <v>1</v>
      </c>
      <c r="R1757" t="s">
        <v>1272</v>
      </c>
      <c r="S1757" t="str">
        <f t="shared" si="14"/>
        <v>Phù hợp 1 phần</v>
      </c>
    </row>
    <row r="1758" spans="1:19" hidden="1" x14ac:dyDescent="0.3">
      <c r="A1758" t="s">
        <v>1257</v>
      </c>
      <c r="B1758" t="s">
        <v>1258</v>
      </c>
      <c r="C1758" t="s">
        <v>1224</v>
      </c>
      <c r="D1758">
        <v>18959</v>
      </c>
      <c r="E1758" t="s">
        <v>1073</v>
      </c>
      <c r="F1758" t="s">
        <v>293</v>
      </c>
      <c r="G1758" t="s">
        <v>1074</v>
      </c>
      <c r="H1758" t="s">
        <v>1075</v>
      </c>
      <c r="I1758" t="s">
        <v>31</v>
      </c>
      <c r="J1758">
        <v>498</v>
      </c>
      <c r="K1758" t="s">
        <v>1076</v>
      </c>
      <c r="N1758">
        <v>10</v>
      </c>
      <c r="O1758">
        <v>0.41060000000000002</v>
      </c>
      <c r="P1758" t="s">
        <v>38</v>
      </c>
      <c r="Q1758" s="1">
        <v>0</v>
      </c>
      <c r="R1758" t="s">
        <v>1272</v>
      </c>
      <c r="S1758" t="str">
        <f t="shared" si="14"/>
        <v>ko hợp</v>
      </c>
    </row>
    <row r="1759" spans="1:19" hidden="1" x14ac:dyDescent="0.3">
      <c r="A1759" t="s">
        <v>1257</v>
      </c>
      <c r="B1759" t="s">
        <v>1258</v>
      </c>
      <c r="C1759" t="s">
        <v>1224</v>
      </c>
      <c r="D1759">
        <v>20772</v>
      </c>
      <c r="E1759" t="s">
        <v>292</v>
      </c>
      <c r="F1759" t="s">
        <v>293</v>
      </c>
      <c r="G1759" t="s">
        <v>41</v>
      </c>
      <c r="H1759" t="s">
        <v>294</v>
      </c>
      <c r="I1759" t="s">
        <v>25</v>
      </c>
      <c r="J1759">
        <v>787</v>
      </c>
      <c r="K1759" t="s">
        <v>295</v>
      </c>
      <c r="L1759">
        <v>10</v>
      </c>
      <c r="M1759">
        <v>12.2296</v>
      </c>
      <c r="P1759" t="s">
        <v>33</v>
      </c>
      <c r="Q1759" s="1">
        <v>0</v>
      </c>
      <c r="R1759" t="s">
        <v>1272</v>
      </c>
      <c r="S1759" t="str">
        <f t="shared" si="14"/>
        <v>ko hợp</v>
      </c>
    </row>
    <row r="1760" spans="1:19" hidden="1" x14ac:dyDescent="0.3">
      <c r="A1760" t="s">
        <v>1262</v>
      </c>
      <c r="B1760" t="s">
        <v>1263</v>
      </c>
      <c r="C1760" t="s">
        <v>1224</v>
      </c>
      <c r="D1760">
        <v>15093</v>
      </c>
      <c r="E1760" t="s">
        <v>452</v>
      </c>
      <c r="F1760" t="s">
        <v>60</v>
      </c>
      <c r="G1760" t="s">
        <v>453</v>
      </c>
      <c r="H1760" t="s">
        <v>454</v>
      </c>
      <c r="I1760" t="s">
        <v>31</v>
      </c>
      <c r="J1760">
        <v>892</v>
      </c>
      <c r="K1760" t="s">
        <v>455</v>
      </c>
      <c r="N1760">
        <v>1</v>
      </c>
      <c r="O1760">
        <v>0.41</v>
      </c>
      <c r="P1760" t="s">
        <v>38</v>
      </c>
      <c r="Q1760" s="1">
        <v>2</v>
      </c>
      <c r="R1760" t="s">
        <v>1272</v>
      </c>
      <c r="S1760" t="str">
        <f t="shared" si="14"/>
        <v>ok</v>
      </c>
    </row>
    <row r="1761" spans="1:19" hidden="1" x14ac:dyDescent="0.3">
      <c r="A1761" t="s">
        <v>1262</v>
      </c>
      <c r="B1761" t="s">
        <v>1263</v>
      </c>
      <c r="C1761" t="s">
        <v>1224</v>
      </c>
      <c r="D1761">
        <v>20776</v>
      </c>
      <c r="E1761" t="s">
        <v>739</v>
      </c>
      <c r="F1761" t="s">
        <v>740</v>
      </c>
      <c r="G1761" t="s">
        <v>741</v>
      </c>
      <c r="H1761" t="s">
        <v>742</v>
      </c>
      <c r="I1761" t="s">
        <v>31</v>
      </c>
      <c r="J1761">
        <v>386</v>
      </c>
      <c r="K1761" t="s">
        <v>743</v>
      </c>
      <c r="L1761">
        <v>1</v>
      </c>
      <c r="M1761">
        <v>17.0337</v>
      </c>
      <c r="P1761" t="s">
        <v>33</v>
      </c>
      <c r="Q1761" s="1">
        <v>0</v>
      </c>
      <c r="R1761" t="s">
        <v>1272</v>
      </c>
      <c r="S1761" t="str">
        <f t="shared" si="14"/>
        <v>ko hợp</v>
      </c>
    </row>
    <row r="1762" spans="1:19" hidden="1" x14ac:dyDescent="0.3">
      <c r="A1762" t="s">
        <v>1262</v>
      </c>
      <c r="B1762" t="s">
        <v>1263</v>
      </c>
      <c r="C1762" t="s">
        <v>1224</v>
      </c>
      <c r="D1762">
        <v>13674</v>
      </c>
      <c r="E1762" t="s">
        <v>78</v>
      </c>
      <c r="F1762" t="s">
        <v>22</v>
      </c>
      <c r="G1762" t="s">
        <v>79</v>
      </c>
      <c r="H1762" t="s">
        <v>80</v>
      </c>
      <c r="I1762" t="s">
        <v>31</v>
      </c>
      <c r="J1762">
        <v>1127</v>
      </c>
      <c r="K1762" t="s">
        <v>81</v>
      </c>
      <c r="L1762">
        <v>2</v>
      </c>
      <c r="M1762">
        <v>16.7807</v>
      </c>
      <c r="N1762">
        <v>2</v>
      </c>
      <c r="O1762">
        <v>0.40100000000000002</v>
      </c>
      <c r="P1762" t="s">
        <v>27</v>
      </c>
      <c r="Q1762" s="1">
        <v>2</v>
      </c>
      <c r="R1762" t="s">
        <v>1272</v>
      </c>
      <c r="S1762" t="str">
        <f t="shared" si="14"/>
        <v>ok</v>
      </c>
    </row>
    <row r="1763" spans="1:19" hidden="1" x14ac:dyDescent="0.3">
      <c r="A1763" t="s">
        <v>1262</v>
      </c>
      <c r="B1763" t="s">
        <v>1263</v>
      </c>
      <c r="C1763" t="s">
        <v>1224</v>
      </c>
      <c r="D1763">
        <v>16217</v>
      </c>
      <c r="E1763" t="s">
        <v>483</v>
      </c>
      <c r="F1763" t="s">
        <v>160</v>
      </c>
      <c r="G1763" t="s">
        <v>484</v>
      </c>
      <c r="H1763" t="s">
        <v>485</v>
      </c>
      <c r="I1763" t="s">
        <v>31</v>
      </c>
      <c r="J1763">
        <v>3130</v>
      </c>
      <c r="K1763" t="s">
        <v>486</v>
      </c>
      <c r="N1763">
        <v>3</v>
      </c>
      <c r="O1763">
        <v>0.39079999999999998</v>
      </c>
      <c r="P1763" t="s">
        <v>38</v>
      </c>
      <c r="Q1763" s="1">
        <v>2</v>
      </c>
      <c r="R1763" t="s">
        <v>1272</v>
      </c>
      <c r="S1763" t="str">
        <f t="shared" si="14"/>
        <v>ok</v>
      </c>
    </row>
    <row r="1764" spans="1:19" hidden="1" x14ac:dyDescent="0.3">
      <c r="A1764" t="s">
        <v>1262</v>
      </c>
      <c r="B1764" t="s">
        <v>1263</v>
      </c>
      <c r="C1764" t="s">
        <v>1224</v>
      </c>
      <c r="D1764">
        <v>19395</v>
      </c>
      <c r="E1764" t="s">
        <v>609</v>
      </c>
      <c r="F1764" t="s">
        <v>22</v>
      </c>
      <c r="G1764" t="s">
        <v>610</v>
      </c>
      <c r="H1764" t="s">
        <v>611</v>
      </c>
      <c r="I1764" t="s">
        <v>31</v>
      </c>
      <c r="J1764">
        <v>560</v>
      </c>
      <c r="K1764" t="s">
        <v>612</v>
      </c>
      <c r="L1764">
        <v>3</v>
      </c>
      <c r="M1764">
        <v>16.295200000000001</v>
      </c>
      <c r="P1764" t="s">
        <v>33</v>
      </c>
      <c r="Q1764" s="1">
        <v>2</v>
      </c>
      <c r="R1764" t="s">
        <v>1272</v>
      </c>
      <c r="S1764" t="str">
        <f t="shared" si="14"/>
        <v>ok</v>
      </c>
    </row>
    <row r="1765" spans="1:19" hidden="1" x14ac:dyDescent="0.3">
      <c r="A1765" t="s">
        <v>1262</v>
      </c>
      <c r="B1765" t="s">
        <v>1263</v>
      </c>
      <c r="C1765" t="s">
        <v>1224</v>
      </c>
      <c r="D1765">
        <v>9529</v>
      </c>
      <c r="E1765" t="s">
        <v>606</v>
      </c>
      <c r="F1765" t="s">
        <v>155</v>
      </c>
      <c r="G1765" t="s">
        <v>41</v>
      </c>
      <c r="H1765" t="s">
        <v>607</v>
      </c>
      <c r="I1765" t="s">
        <v>25</v>
      </c>
      <c r="J1765">
        <v>1417</v>
      </c>
      <c r="K1765" t="s">
        <v>608</v>
      </c>
      <c r="L1765">
        <v>4</v>
      </c>
      <c r="M1765">
        <v>15.6677</v>
      </c>
      <c r="P1765" t="s">
        <v>33</v>
      </c>
      <c r="Q1765" s="1">
        <v>0</v>
      </c>
      <c r="R1765" t="s">
        <v>1272</v>
      </c>
      <c r="S1765" t="str">
        <f t="shared" si="14"/>
        <v>ko hợp</v>
      </c>
    </row>
    <row r="1766" spans="1:19" hidden="1" x14ac:dyDescent="0.3">
      <c r="A1766" t="s">
        <v>1262</v>
      </c>
      <c r="B1766" t="s">
        <v>1263</v>
      </c>
      <c r="C1766" t="s">
        <v>1224</v>
      </c>
      <c r="D1766">
        <v>20353</v>
      </c>
      <c r="E1766" t="s">
        <v>164</v>
      </c>
      <c r="F1766" t="s">
        <v>165</v>
      </c>
      <c r="G1766" t="s">
        <v>41</v>
      </c>
      <c r="H1766" t="s">
        <v>166</v>
      </c>
      <c r="I1766" t="s">
        <v>31</v>
      </c>
      <c r="J1766">
        <v>899</v>
      </c>
      <c r="K1766" t="s">
        <v>167</v>
      </c>
      <c r="N1766">
        <v>4</v>
      </c>
      <c r="O1766">
        <v>0.37469999999999998</v>
      </c>
      <c r="P1766" t="s">
        <v>38</v>
      </c>
      <c r="Q1766" s="1">
        <v>1</v>
      </c>
      <c r="R1766" t="s">
        <v>1272</v>
      </c>
      <c r="S1766" t="str">
        <f t="shared" si="14"/>
        <v>Phù hợp 1 phần</v>
      </c>
    </row>
    <row r="1767" spans="1:19" hidden="1" x14ac:dyDescent="0.3">
      <c r="A1767" t="s">
        <v>1262</v>
      </c>
      <c r="B1767" t="s">
        <v>1263</v>
      </c>
      <c r="C1767" t="s">
        <v>1224</v>
      </c>
      <c r="D1767">
        <v>12662</v>
      </c>
      <c r="E1767" t="s">
        <v>313</v>
      </c>
      <c r="F1767" t="s">
        <v>155</v>
      </c>
      <c r="G1767" t="s">
        <v>314</v>
      </c>
      <c r="H1767" t="s">
        <v>315</v>
      </c>
      <c r="I1767" t="s">
        <v>31</v>
      </c>
      <c r="J1767">
        <v>711</v>
      </c>
      <c r="K1767" t="s">
        <v>316</v>
      </c>
      <c r="N1767">
        <v>5</v>
      </c>
      <c r="O1767">
        <v>0.37340000000000001</v>
      </c>
      <c r="P1767" t="s">
        <v>38</v>
      </c>
      <c r="Q1767" s="1">
        <v>0</v>
      </c>
      <c r="R1767" t="s">
        <v>1272</v>
      </c>
      <c r="S1767" t="str">
        <f t="shared" si="14"/>
        <v>ko hợp</v>
      </c>
    </row>
    <row r="1768" spans="1:19" hidden="1" x14ac:dyDescent="0.3">
      <c r="A1768" t="s">
        <v>1262</v>
      </c>
      <c r="B1768" t="s">
        <v>1263</v>
      </c>
      <c r="C1768" t="s">
        <v>1224</v>
      </c>
      <c r="D1768">
        <v>20043</v>
      </c>
      <c r="E1768" t="s">
        <v>412</v>
      </c>
      <c r="F1768" t="s">
        <v>413</v>
      </c>
      <c r="G1768" t="s">
        <v>414</v>
      </c>
      <c r="H1768" t="s">
        <v>415</v>
      </c>
      <c r="I1768" t="s">
        <v>25</v>
      </c>
      <c r="J1768">
        <v>558</v>
      </c>
      <c r="K1768" t="s">
        <v>416</v>
      </c>
      <c r="L1768">
        <v>5</v>
      </c>
      <c r="M1768">
        <v>14.1843</v>
      </c>
      <c r="P1768" t="s">
        <v>33</v>
      </c>
      <c r="Q1768" s="1">
        <v>0</v>
      </c>
      <c r="R1768" t="s">
        <v>1272</v>
      </c>
      <c r="S1768" t="str">
        <f t="shared" si="14"/>
        <v>ko hợp</v>
      </c>
    </row>
    <row r="1769" spans="1:19" hidden="1" x14ac:dyDescent="0.3">
      <c r="A1769" t="s">
        <v>1262</v>
      </c>
      <c r="B1769" t="s">
        <v>1263</v>
      </c>
      <c r="C1769" t="s">
        <v>1224</v>
      </c>
      <c r="D1769">
        <v>447</v>
      </c>
      <c r="E1769" t="s">
        <v>813</v>
      </c>
      <c r="F1769" t="s">
        <v>22</v>
      </c>
      <c r="G1769" t="s">
        <v>814</v>
      </c>
      <c r="H1769" t="s">
        <v>815</v>
      </c>
      <c r="I1769" t="s">
        <v>25</v>
      </c>
      <c r="J1769">
        <v>806</v>
      </c>
      <c r="K1769" t="s">
        <v>816</v>
      </c>
      <c r="L1769">
        <v>6</v>
      </c>
      <c r="M1769">
        <v>13.61</v>
      </c>
      <c r="P1769" t="s">
        <v>33</v>
      </c>
      <c r="Q1769" s="1">
        <v>2</v>
      </c>
      <c r="R1769" t="s">
        <v>1272</v>
      </c>
      <c r="S1769" t="str">
        <f t="shared" si="14"/>
        <v>ok</v>
      </c>
    </row>
    <row r="1770" spans="1:19" hidden="1" x14ac:dyDescent="0.3">
      <c r="A1770" t="s">
        <v>1262</v>
      </c>
      <c r="B1770" t="s">
        <v>1263</v>
      </c>
      <c r="C1770" t="s">
        <v>1224</v>
      </c>
      <c r="D1770">
        <v>11756</v>
      </c>
      <c r="E1770" t="s">
        <v>695</v>
      </c>
      <c r="F1770" t="s">
        <v>60</v>
      </c>
      <c r="G1770" t="s">
        <v>696</v>
      </c>
      <c r="H1770" t="s">
        <v>697</v>
      </c>
      <c r="I1770" t="s">
        <v>31</v>
      </c>
      <c r="J1770">
        <v>182</v>
      </c>
      <c r="K1770" t="s">
        <v>698</v>
      </c>
      <c r="N1770">
        <v>6</v>
      </c>
      <c r="O1770">
        <v>0.36599999999999999</v>
      </c>
      <c r="P1770" t="s">
        <v>38</v>
      </c>
      <c r="Q1770" s="1">
        <v>1</v>
      </c>
      <c r="R1770" t="s">
        <v>1272</v>
      </c>
      <c r="S1770" t="str">
        <f t="shared" si="14"/>
        <v>Phù hợp 1 phần</v>
      </c>
    </row>
    <row r="1771" spans="1:19" hidden="1" x14ac:dyDescent="0.3">
      <c r="A1771" t="s">
        <v>1262</v>
      </c>
      <c r="B1771" t="s">
        <v>1263</v>
      </c>
      <c r="C1771" t="s">
        <v>1224</v>
      </c>
      <c r="D1771">
        <v>13094</v>
      </c>
      <c r="E1771" t="s">
        <v>336</v>
      </c>
      <c r="F1771" t="s">
        <v>288</v>
      </c>
      <c r="G1771" t="s">
        <v>337</v>
      </c>
      <c r="H1771" t="s">
        <v>338</v>
      </c>
      <c r="I1771" t="s">
        <v>31</v>
      </c>
      <c r="J1771">
        <v>720</v>
      </c>
      <c r="K1771" t="s">
        <v>339</v>
      </c>
      <c r="N1771">
        <v>7</v>
      </c>
      <c r="O1771">
        <v>0.36409999999999998</v>
      </c>
      <c r="P1771" t="s">
        <v>38</v>
      </c>
      <c r="Q1771" s="1">
        <v>1</v>
      </c>
      <c r="R1771" t="s">
        <v>1272</v>
      </c>
      <c r="S1771" t="str">
        <f t="shared" si="14"/>
        <v>Phù hợp 1 phần</v>
      </c>
    </row>
    <row r="1772" spans="1:19" hidden="1" x14ac:dyDescent="0.3">
      <c r="A1772" t="s">
        <v>1262</v>
      </c>
      <c r="B1772" t="s">
        <v>1263</v>
      </c>
      <c r="C1772" t="s">
        <v>1224</v>
      </c>
      <c r="D1772">
        <v>16201</v>
      </c>
      <c r="E1772" t="s">
        <v>349</v>
      </c>
      <c r="F1772" t="s">
        <v>288</v>
      </c>
      <c r="G1772" t="s">
        <v>350</v>
      </c>
      <c r="H1772" t="s">
        <v>351</v>
      </c>
      <c r="I1772" t="s">
        <v>352</v>
      </c>
      <c r="J1772">
        <v>1213</v>
      </c>
      <c r="K1772" t="s">
        <v>353</v>
      </c>
      <c r="L1772">
        <v>7</v>
      </c>
      <c r="M1772">
        <v>13.6046</v>
      </c>
      <c r="P1772" t="s">
        <v>33</v>
      </c>
      <c r="Q1772" s="1">
        <v>1</v>
      </c>
      <c r="R1772" t="s">
        <v>1272</v>
      </c>
      <c r="S1772" t="str">
        <f t="shared" si="14"/>
        <v>Phù hợp 1 phần</v>
      </c>
    </row>
    <row r="1773" spans="1:19" hidden="1" x14ac:dyDescent="0.3">
      <c r="A1773" t="s">
        <v>1262</v>
      </c>
      <c r="B1773" t="s">
        <v>1263</v>
      </c>
      <c r="C1773" t="s">
        <v>1224</v>
      </c>
      <c r="D1773">
        <v>10796</v>
      </c>
      <c r="E1773" t="s">
        <v>1130</v>
      </c>
      <c r="F1773" t="s">
        <v>60</v>
      </c>
      <c r="G1773" t="s">
        <v>1131</v>
      </c>
      <c r="H1773" t="s">
        <v>1132</v>
      </c>
      <c r="I1773" t="s">
        <v>25</v>
      </c>
      <c r="J1773">
        <v>689</v>
      </c>
      <c r="K1773" t="s">
        <v>1133</v>
      </c>
      <c r="N1773">
        <v>8</v>
      </c>
      <c r="O1773">
        <v>0.36159999999999998</v>
      </c>
      <c r="P1773" t="s">
        <v>38</v>
      </c>
      <c r="Q1773" s="1">
        <v>1</v>
      </c>
      <c r="R1773" t="s">
        <v>1272</v>
      </c>
      <c r="S1773" t="str">
        <f t="shared" si="14"/>
        <v>Phù hợp 1 phần</v>
      </c>
    </row>
    <row r="1774" spans="1:19" hidden="1" x14ac:dyDescent="0.3">
      <c r="A1774" t="s">
        <v>1262</v>
      </c>
      <c r="B1774" t="s">
        <v>1263</v>
      </c>
      <c r="C1774" t="s">
        <v>1224</v>
      </c>
      <c r="D1774">
        <v>20735</v>
      </c>
      <c r="E1774" t="s">
        <v>448</v>
      </c>
      <c r="F1774" t="s">
        <v>449</v>
      </c>
      <c r="G1774" t="s">
        <v>41</v>
      </c>
      <c r="H1774" t="s">
        <v>450</v>
      </c>
      <c r="I1774" t="s">
        <v>25</v>
      </c>
      <c r="J1774">
        <v>750</v>
      </c>
      <c r="K1774" t="s">
        <v>451</v>
      </c>
      <c r="L1774">
        <v>8</v>
      </c>
      <c r="M1774">
        <v>13.535600000000001</v>
      </c>
      <c r="P1774" t="s">
        <v>33</v>
      </c>
      <c r="Q1774" s="1">
        <v>0</v>
      </c>
      <c r="R1774" t="s">
        <v>1272</v>
      </c>
      <c r="S1774" t="str">
        <f t="shared" si="14"/>
        <v>ko hợp</v>
      </c>
    </row>
    <row r="1775" spans="1:19" hidden="1" x14ac:dyDescent="0.3">
      <c r="A1775" t="s">
        <v>1262</v>
      </c>
      <c r="B1775" t="s">
        <v>1263</v>
      </c>
      <c r="C1775" t="s">
        <v>1224</v>
      </c>
      <c r="D1775">
        <v>13886</v>
      </c>
      <c r="E1775" t="s">
        <v>445</v>
      </c>
      <c r="F1775" t="s">
        <v>425</v>
      </c>
      <c r="G1775" t="s">
        <v>390</v>
      </c>
      <c r="H1775" t="s">
        <v>446</v>
      </c>
      <c r="I1775" t="s">
        <v>31</v>
      </c>
      <c r="J1775">
        <v>428</v>
      </c>
      <c r="K1775" t="s">
        <v>447</v>
      </c>
      <c r="N1775">
        <v>9</v>
      </c>
      <c r="O1775">
        <v>0.36</v>
      </c>
      <c r="P1775" t="s">
        <v>38</v>
      </c>
      <c r="Q1775" s="1">
        <v>1</v>
      </c>
      <c r="R1775" t="s">
        <v>1272</v>
      </c>
      <c r="S1775" t="str">
        <f t="shared" si="14"/>
        <v>Phù hợp 1 phần</v>
      </c>
    </row>
    <row r="1776" spans="1:19" hidden="1" x14ac:dyDescent="0.3">
      <c r="A1776" t="s">
        <v>1262</v>
      </c>
      <c r="B1776" t="s">
        <v>1263</v>
      </c>
      <c r="C1776" t="s">
        <v>1224</v>
      </c>
      <c r="D1776">
        <v>19710</v>
      </c>
      <c r="E1776" t="s">
        <v>199</v>
      </c>
      <c r="F1776" t="s">
        <v>200</v>
      </c>
      <c r="G1776" t="s">
        <v>201</v>
      </c>
      <c r="H1776" t="s">
        <v>202</v>
      </c>
      <c r="I1776" t="s">
        <v>31</v>
      </c>
      <c r="J1776">
        <v>262</v>
      </c>
      <c r="K1776" t="s">
        <v>203</v>
      </c>
      <c r="L1776">
        <v>9</v>
      </c>
      <c r="M1776">
        <v>13.5343</v>
      </c>
      <c r="P1776" t="s">
        <v>33</v>
      </c>
      <c r="Q1776" s="1">
        <v>0</v>
      </c>
      <c r="R1776" t="s">
        <v>1272</v>
      </c>
      <c r="S1776" t="str">
        <f t="shared" si="14"/>
        <v>ko hợp</v>
      </c>
    </row>
    <row r="1777" spans="1:19" hidden="1" x14ac:dyDescent="0.3">
      <c r="A1777" t="s">
        <v>1262</v>
      </c>
      <c r="B1777" t="s">
        <v>1263</v>
      </c>
      <c r="C1777" t="s">
        <v>1224</v>
      </c>
      <c r="D1777">
        <v>18885</v>
      </c>
      <c r="E1777" t="s">
        <v>86</v>
      </c>
      <c r="F1777" t="s">
        <v>60</v>
      </c>
      <c r="G1777" t="s">
        <v>87</v>
      </c>
      <c r="H1777" t="s">
        <v>88</v>
      </c>
      <c r="I1777" t="s">
        <v>31</v>
      </c>
      <c r="J1777">
        <v>596</v>
      </c>
      <c r="K1777" t="s">
        <v>89</v>
      </c>
      <c r="N1777">
        <v>10</v>
      </c>
      <c r="O1777">
        <v>0.3589</v>
      </c>
      <c r="P1777" t="s">
        <v>38</v>
      </c>
      <c r="Q1777" s="1">
        <v>1</v>
      </c>
      <c r="R1777" t="s">
        <v>1272</v>
      </c>
      <c r="S1777" t="str">
        <f t="shared" si="14"/>
        <v>Phù hợp 1 phần</v>
      </c>
    </row>
    <row r="1778" spans="1:19" hidden="1" x14ac:dyDescent="0.3">
      <c r="A1778" t="s">
        <v>1262</v>
      </c>
      <c r="B1778" t="s">
        <v>1263</v>
      </c>
      <c r="C1778" t="s">
        <v>1224</v>
      </c>
      <c r="D1778">
        <v>19982</v>
      </c>
      <c r="E1778" t="s">
        <v>28</v>
      </c>
      <c r="F1778" t="s">
        <v>22</v>
      </c>
      <c r="G1778" t="s">
        <v>29</v>
      </c>
      <c r="H1778" t="s">
        <v>30</v>
      </c>
      <c r="I1778" t="s">
        <v>31</v>
      </c>
      <c r="J1778">
        <v>543</v>
      </c>
      <c r="K1778" t="s">
        <v>32</v>
      </c>
      <c r="L1778">
        <v>10</v>
      </c>
      <c r="M1778">
        <v>13.2906</v>
      </c>
      <c r="P1778" t="s">
        <v>33</v>
      </c>
      <c r="Q1778" s="1">
        <v>1</v>
      </c>
      <c r="R1778" t="s">
        <v>1272</v>
      </c>
      <c r="S1778" t="str">
        <f t="shared" si="14"/>
        <v>Phù hợp 1 phần</v>
      </c>
    </row>
    <row r="1779" spans="1:19" hidden="1" x14ac:dyDescent="0.3">
      <c r="A1779" t="s">
        <v>1264</v>
      </c>
      <c r="B1779" t="s">
        <v>1265</v>
      </c>
      <c r="C1779" t="s">
        <v>1224</v>
      </c>
      <c r="D1779">
        <v>11918</v>
      </c>
      <c r="E1779" t="s">
        <v>133</v>
      </c>
      <c r="F1779" t="s">
        <v>60</v>
      </c>
      <c r="G1779" t="s">
        <v>134</v>
      </c>
      <c r="H1779" t="s">
        <v>135</v>
      </c>
      <c r="I1779" t="s">
        <v>25</v>
      </c>
      <c r="J1779">
        <v>3604</v>
      </c>
      <c r="K1779" t="s">
        <v>136</v>
      </c>
      <c r="L1779">
        <v>1</v>
      </c>
      <c r="M1779">
        <v>25.212700000000002</v>
      </c>
      <c r="P1779" t="s">
        <v>33</v>
      </c>
      <c r="Q1779" s="1">
        <v>0</v>
      </c>
      <c r="R1779" t="s">
        <v>1272</v>
      </c>
      <c r="S1779" t="str">
        <f t="shared" si="14"/>
        <v>ko hợp</v>
      </c>
    </row>
    <row r="1780" spans="1:19" hidden="1" x14ac:dyDescent="0.3">
      <c r="A1780" t="s">
        <v>1264</v>
      </c>
      <c r="B1780" t="s">
        <v>1265</v>
      </c>
      <c r="C1780" t="s">
        <v>1224</v>
      </c>
      <c r="D1780">
        <v>18831</v>
      </c>
      <c r="E1780" t="s">
        <v>841</v>
      </c>
      <c r="F1780" t="s">
        <v>842</v>
      </c>
      <c r="G1780" t="s">
        <v>41</v>
      </c>
      <c r="H1780" t="s">
        <v>843</v>
      </c>
      <c r="I1780" t="s">
        <v>31</v>
      </c>
      <c r="J1780">
        <v>565</v>
      </c>
      <c r="K1780" t="s">
        <v>844</v>
      </c>
      <c r="N1780">
        <v>1</v>
      </c>
      <c r="O1780">
        <v>0.39810000000000001</v>
      </c>
      <c r="P1780" t="s">
        <v>38</v>
      </c>
      <c r="Q1780" s="1">
        <v>2</v>
      </c>
      <c r="R1780" t="s">
        <v>1272</v>
      </c>
      <c r="S1780" t="str">
        <f t="shared" si="14"/>
        <v>ok</v>
      </c>
    </row>
    <row r="1781" spans="1:19" hidden="1" x14ac:dyDescent="0.3">
      <c r="A1781" t="s">
        <v>1264</v>
      </c>
      <c r="B1781" t="s">
        <v>1265</v>
      </c>
      <c r="C1781" t="s">
        <v>1224</v>
      </c>
      <c r="D1781">
        <v>17133</v>
      </c>
      <c r="E1781" t="s">
        <v>306</v>
      </c>
      <c r="F1781" t="s">
        <v>155</v>
      </c>
      <c r="G1781" t="s">
        <v>187</v>
      </c>
      <c r="H1781" t="s">
        <v>307</v>
      </c>
      <c r="I1781" t="s">
        <v>31</v>
      </c>
      <c r="J1781">
        <v>469</v>
      </c>
      <c r="K1781" t="s">
        <v>308</v>
      </c>
      <c r="N1781">
        <v>2</v>
      </c>
      <c r="O1781">
        <v>0.38900000000000001</v>
      </c>
      <c r="P1781" t="s">
        <v>38</v>
      </c>
      <c r="Q1781" s="1">
        <v>2</v>
      </c>
      <c r="R1781" t="s">
        <v>1272</v>
      </c>
      <c r="S1781" t="str">
        <f t="shared" si="14"/>
        <v>ok</v>
      </c>
    </row>
    <row r="1782" spans="1:19" hidden="1" x14ac:dyDescent="0.3">
      <c r="A1782" t="s">
        <v>1264</v>
      </c>
      <c r="B1782" t="s">
        <v>1265</v>
      </c>
      <c r="C1782" t="s">
        <v>1224</v>
      </c>
      <c r="D1782">
        <v>19312</v>
      </c>
      <c r="E1782" t="s">
        <v>321</v>
      </c>
      <c r="F1782" t="s">
        <v>322</v>
      </c>
      <c r="G1782" t="s">
        <v>323</v>
      </c>
      <c r="H1782" t="s">
        <v>324</v>
      </c>
      <c r="I1782" t="s">
        <v>31</v>
      </c>
      <c r="J1782">
        <v>2453</v>
      </c>
      <c r="K1782" t="s">
        <v>325</v>
      </c>
      <c r="L1782">
        <v>2</v>
      </c>
      <c r="M1782">
        <v>19.847200000000001</v>
      </c>
      <c r="P1782" t="s">
        <v>33</v>
      </c>
      <c r="Q1782" s="1">
        <v>0</v>
      </c>
      <c r="R1782" t="s">
        <v>1272</v>
      </c>
      <c r="S1782" t="str">
        <f t="shared" si="14"/>
        <v>ko hợp</v>
      </c>
    </row>
    <row r="1783" spans="1:19" hidden="1" x14ac:dyDescent="0.3">
      <c r="A1783" t="s">
        <v>1264</v>
      </c>
      <c r="B1783" t="s">
        <v>1265</v>
      </c>
      <c r="C1783" t="s">
        <v>1224</v>
      </c>
      <c r="D1783">
        <v>3280</v>
      </c>
      <c r="E1783" t="s">
        <v>178</v>
      </c>
      <c r="F1783" t="s">
        <v>155</v>
      </c>
      <c r="G1783" t="s">
        <v>179</v>
      </c>
      <c r="H1783" t="s">
        <v>180</v>
      </c>
      <c r="I1783" t="s">
        <v>25</v>
      </c>
      <c r="J1783">
        <v>927</v>
      </c>
      <c r="K1783" t="s">
        <v>181</v>
      </c>
      <c r="N1783">
        <v>3</v>
      </c>
      <c r="O1783">
        <v>0.37590000000000001</v>
      </c>
      <c r="P1783" t="s">
        <v>38</v>
      </c>
      <c r="Q1783" s="1">
        <v>0</v>
      </c>
      <c r="R1783" t="s">
        <v>1272</v>
      </c>
      <c r="S1783" t="str">
        <f t="shared" si="14"/>
        <v>ko hợp</v>
      </c>
    </row>
    <row r="1784" spans="1:19" hidden="1" x14ac:dyDescent="0.3">
      <c r="A1784" t="s">
        <v>1264</v>
      </c>
      <c r="B1784" t="s">
        <v>1265</v>
      </c>
      <c r="C1784" t="s">
        <v>1224</v>
      </c>
      <c r="D1784">
        <v>12265</v>
      </c>
      <c r="E1784" t="s">
        <v>569</v>
      </c>
      <c r="F1784" t="s">
        <v>570</v>
      </c>
      <c r="G1784" t="s">
        <v>571</v>
      </c>
      <c r="H1784" t="s">
        <v>572</v>
      </c>
      <c r="I1784" t="s">
        <v>31</v>
      </c>
      <c r="J1784">
        <v>227</v>
      </c>
      <c r="K1784" t="s">
        <v>573</v>
      </c>
      <c r="L1784">
        <v>3</v>
      </c>
      <c r="M1784">
        <v>19.7974</v>
      </c>
      <c r="P1784" t="s">
        <v>33</v>
      </c>
      <c r="Q1784" s="1">
        <v>0</v>
      </c>
      <c r="R1784" t="s">
        <v>1272</v>
      </c>
      <c r="S1784" t="str">
        <f t="shared" si="14"/>
        <v>ko hợp</v>
      </c>
    </row>
    <row r="1785" spans="1:19" hidden="1" x14ac:dyDescent="0.3">
      <c r="A1785" t="s">
        <v>1264</v>
      </c>
      <c r="B1785" t="s">
        <v>1265</v>
      </c>
      <c r="C1785" t="s">
        <v>1224</v>
      </c>
      <c r="D1785">
        <v>13925</v>
      </c>
      <c r="E1785" t="s">
        <v>1266</v>
      </c>
      <c r="F1785" t="s">
        <v>60</v>
      </c>
      <c r="G1785" t="s">
        <v>1267</v>
      </c>
      <c r="H1785" t="s">
        <v>1268</v>
      </c>
      <c r="I1785" t="s">
        <v>31</v>
      </c>
      <c r="J1785">
        <v>1506</v>
      </c>
      <c r="K1785" t="s">
        <v>1269</v>
      </c>
      <c r="L1785">
        <v>4</v>
      </c>
      <c r="M1785">
        <v>19.127400000000002</v>
      </c>
      <c r="P1785" t="s">
        <v>33</v>
      </c>
      <c r="Q1785" s="1">
        <v>0</v>
      </c>
      <c r="R1785" t="s">
        <v>1272</v>
      </c>
      <c r="S1785" t="str">
        <f t="shared" si="14"/>
        <v>ko hợp</v>
      </c>
    </row>
    <row r="1786" spans="1:19" hidden="1" x14ac:dyDescent="0.3">
      <c r="A1786" t="s">
        <v>1264</v>
      </c>
      <c r="B1786" t="s">
        <v>1265</v>
      </c>
      <c r="C1786" t="s">
        <v>1224</v>
      </c>
      <c r="D1786">
        <v>16756</v>
      </c>
      <c r="E1786" t="s">
        <v>764</v>
      </c>
      <c r="F1786" t="s">
        <v>155</v>
      </c>
      <c r="G1786" t="s">
        <v>235</v>
      </c>
      <c r="H1786" t="s">
        <v>765</v>
      </c>
      <c r="I1786" t="s">
        <v>25</v>
      </c>
      <c r="J1786">
        <v>344</v>
      </c>
      <c r="K1786" t="s">
        <v>766</v>
      </c>
      <c r="N1786">
        <v>4</v>
      </c>
      <c r="O1786">
        <v>0.36959999999999998</v>
      </c>
      <c r="P1786" t="s">
        <v>38</v>
      </c>
      <c r="Q1786" s="1">
        <v>0</v>
      </c>
      <c r="R1786" t="s">
        <v>1272</v>
      </c>
      <c r="S1786" t="str">
        <f t="shared" si="14"/>
        <v>ko hợp</v>
      </c>
    </row>
    <row r="1787" spans="1:19" hidden="1" x14ac:dyDescent="0.3">
      <c r="A1787" t="s">
        <v>1264</v>
      </c>
      <c r="B1787" t="s">
        <v>1265</v>
      </c>
      <c r="C1787" t="s">
        <v>1224</v>
      </c>
      <c r="D1787">
        <v>19019</v>
      </c>
      <c r="E1787" t="s">
        <v>296</v>
      </c>
      <c r="F1787" t="s">
        <v>297</v>
      </c>
      <c r="G1787" t="s">
        <v>298</v>
      </c>
      <c r="H1787" t="s">
        <v>299</v>
      </c>
      <c r="I1787" t="s">
        <v>25</v>
      </c>
      <c r="J1787">
        <v>999</v>
      </c>
      <c r="K1787" t="s">
        <v>300</v>
      </c>
      <c r="N1787">
        <v>5</v>
      </c>
      <c r="O1787">
        <v>0.36909999999999998</v>
      </c>
      <c r="P1787" t="s">
        <v>38</v>
      </c>
      <c r="Q1787" s="1">
        <v>1</v>
      </c>
      <c r="R1787" t="s">
        <v>1272</v>
      </c>
      <c r="S1787" t="str">
        <f t="shared" si="14"/>
        <v>Phù hợp 1 phần</v>
      </c>
    </row>
    <row r="1788" spans="1:19" hidden="1" x14ac:dyDescent="0.3">
      <c r="A1788" t="s">
        <v>1264</v>
      </c>
      <c r="B1788" t="s">
        <v>1265</v>
      </c>
      <c r="C1788" t="s">
        <v>1224</v>
      </c>
      <c r="D1788">
        <v>19831</v>
      </c>
      <c r="E1788" t="s">
        <v>880</v>
      </c>
      <c r="F1788" t="s">
        <v>22</v>
      </c>
      <c r="G1788" t="s">
        <v>806</v>
      </c>
      <c r="H1788" t="s">
        <v>881</v>
      </c>
      <c r="I1788" t="s">
        <v>31</v>
      </c>
      <c r="J1788">
        <v>194</v>
      </c>
      <c r="K1788" t="s">
        <v>882</v>
      </c>
      <c r="L1788">
        <v>5</v>
      </c>
      <c r="M1788">
        <v>17.8688</v>
      </c>
      <c r="P1788" t="s">
        <v>33</v>
      </c>
      <c r="Q1788" s="1">
        <v>0</v>
      </c>
      <c r="R1788" t="s">
        <v>1272</v>
      </c>
      <c r="S1788" t="str">
        <f t="shared" si="14"/>
        <v>ko hợp</v>
      </c>
    </row>
    <row r="1789" spans="1:19" hidden="1" x14ac:dyDescent="0.3">
      <c r="A1789" t="s">
        <v>1264</v>
      </c>
      <c r="B1789" t="s">
        <v>1265</v>
      </c>
      <c r="C1789" t="s">
        <v>1224</v>
      </c>
      <c r="D1789">
        <v>2021</v>
      </c>
      <c r="E1789" t="s">
        <v>582</v>
      </c>
      <c r="F1789" t="s">
        <v>570</v>
      </c>
      <c r="G1789" t="s">
        <v>583</v>
      </c>
      <c r="H1789" t="s">
        <v>584</v>
      </c>
      <c r="I1789" t="s">
        <v>25</v>
      </c>
      <c r="J1789">
        <v>226</v>
      </c>
      <c r="K1789" t="s">
        <v>585</v>
      </c>
      <c r="L1789">
        <v>6</v>
      </c>
      <c r="M1789">
        <v>17.609400000000001</v>
      </c>
      <c r="P1789" t="s">
        <v>33</v>
      </c>
      <c r="Q1789" s="1">
        <v>0</v>
      </c>
      <c r="R1789" t="s">
        <v>1272</v>
      </c>
      <c r="S1789" t="str">
        <f t="shared" si="14"/>
        <v>ko hợp</v>
      </c>
    </row>
    <row r="1790" spans="1:19" hidden="1" x14ac:dyDescent="0.3">
      <c r="A1790" t="s">
        <v>1264</v>
      </c>
      <c r="B1790" t="s">
        <v>1265</v>
      </c>
      <c r="C1790" t="s">
        <v>1224</v>
      </c>
      <c r="D1790">
        <v>19064</v>
      </c>
      <c r="E1790" t="s">
        <v>551</v>
      </c>
      <c r="F1790" t="s">
        <v>552</v>
      </c>
      <c r="G1790" t="s">
        <v>405</v>
      </c>
      <c r="H1790" t="s">
        <v>553</v>
      </c>
      <c r="I1790" t="s">
        <v>31</v>
      </c>
      <c r="J1790">
        <v>1167</v>
      </c>
      <c r="K1790" t="s">
        <v>554</v>
      </c>
      <c r="L1790">
        <v>9</v>
      </c>
      <c r="M1790">
        <v>17.004899999999999</v>
      </c>
      <c r="N1790">
        <v>6</v>
      </c>
      <c r="O1790">
        <v>0.36409999999999998</v>
      </c>
      <c r="P1790" t="s">
        <v>27</v>
      </c>
      <c r="Q1790" s="1">
        <v>0</v>
      </c>
      <c r="R1790" t="s">
        <v>1272</v>
      </c>
      <c r="S1790" t="str">
        <f t="shared" si="14"/>
        <v>ko hợp</v>
      </c>
    </row>
    <row r="1791" spans="1:19" hidden="1" x14ac:dyDescent="0.3">
      <c r="A1791" t="s">
        <v>1264</v>
      </c>
      <c r="B1791" t="s">
        <v>1265</v>
      </c>
      <c r="C1791" t="s">
        <v>1224</v>
      </c>
      <c r="D1791">
        <v>16814</v>
      </c>
      <c r="E1791" t="s">
        <v>787</v>
      </c>
      <c r="F1791" t="s">
        <v>60</v>
      </c>
      <c r="G1791" t="s">
        <v>788</v>
      </c>
      <c r="H1791" t="s">
        <v>789</v>
      </c>
      <c r="I1791" t="s">
        <v>25</v>
      </c>
      <c r="J1791">
        <v>483</v>
      </c>
      <c r="K1791" t="s">
        <v>790</v>
      </c>
      <c r="N1791">
        <v>7</v>
      </c>
      <c r="O1791">
        <v>0.36199999999999999</v>
      </c>
      <c r="P1791" t="s">
        <v>38</v>
      </c>
      <c r="Q1791" s="1">
        <v>0</v>
      </c>
      <c r="R1791" t="s">
        <v>1272</v>
      </c>
      <c r="S1791" t="str">
        <f t="shared" si="14"/>
        <v>ko hợp</v>
      </c>
    </row>
    <row r="1792" spans="1:19" hidden="1" x14ac:dyDescent="0.3">
      <c r="A1792" t="s">
        <v>1264</v>
      </c>
      <c r="B1792" t="s">
        <v>1265</v>
      </c>
      <c r="C1792" t="s">
        <v>1224</v>
      </c>
      <c r="D1792">
        <v>19111</v>
      </c>
      <c r="E1792" t="s">
        <v>645</v>
      </c>
      <c r="F1792" t="s">
        <v>22</v>
      </c>
      <c r="G1792" t="s">
        <v>646</v>
      </c>
      <c r="H1792" t="s">
        <v>647</v>
      </c>
      <c r="I1792" t="s">
        <v>31</v>
      </c>
      <c r="J1792">
        <v>240</v>
      </c>
      <c r="K1792" t="s">
        <v>648</v>
      </c>
      <c r="L1792">
        <v>7</v>
      </c>
      <c r="M1792">
        <v>17.358000000000001</v>
      </c>
      <c r="P1792" t="s">
        <v>33</v>
      </c>
      <c r="Q1792" s="1">
        <v>0</v>
      </c>
      <c r="R1792" t="s">
        <v>1272</v>
      </c>
      <c r="S1792" t="str">
        <f t="shared" si="14"/>
        <v>ko hợp</v>
      </c>
    </row>
    <row r="1793" spans="1:19" hidden="1" x14ac:dyDescent="0.3">
      <c r="A1793" t="s">
        <v>1264</v>
      </c>
      <c r="B1793" t="s">
        <v>1265</v>
      </c>
      <c r="C1793" t="s">
        <v>1224</v>
      </c>
      <c r="D1793">
        <v>8524</v>
      </c>
      <c r="E1793" t="s">
        <v>676</v>
      </c>
      <c r="F1793" t="s">
        <v>668</v>
      </c>
      <c r="G1793" t="s">
        <v>677</v>
      </c>
      <c r="H1793" t="s">
        <v>678</v>
      </c>
      <c r="I1793" t="s">
        <v>25</v>
      </c>
      <c r="J1793">
        <v>226</v>
      </c>
      <c r="K1793" t="s">
        <v>679</v>
      </c>
      <c r="L1793">
        <v>8</v>
      </c>
      <c r="M1793">
        <v>17.2972</v>
      </c>
      <c r="P1793" t="s">
        <v>33</v>
      </c>
      <c r="Q1793" s="1">
        <v>0</v>
      </c>
      <c r="R1793" t="s">
        <v>1272</v>
      </c>
      <c r="S1793" t="str">
        <f t="shared" si="14"/>
        <v>ko hợp</v>
      </c>
    </row>
    <row r="1794" spans="1:19" hidden="1" x14ac:dyDescent="0.3">
      <c r="A1794" t="s">
        <v>1264</v>
      </c>
      <c r="B1794" t="s">
        <v>1265</v>
      </c>
      <c r="C1794" t="s">
        <v>1224</v>
      </c>
      <c r="D1794">
        <v>18422</v>
      </c>
      <c r="E1794" t="s">
        <v>301</v>
      </c>
      <c r="F1794" t="s">
        <v>302</v>
      </c>
      <c r="G1794" t="s">
        <v>303</v>
      </c>
      <c r="H1794" t="s">
        <v>304</v>
      </c>
      <c r="I1794" t="s">
        <v>31</v>
      </c>
      <c r="J1794">
        <v>500</v>
      </c>
      <c r="K1794" t="s">
        <v>305</v>
      </c>
      <c r="N1794">
        <v>8</v>
      </c>
      <c r="O1794">
        <v>0.35410000000000003</v>
      </c>
      <c r="P1794" t="s">
        <v>38</v>
      </c>
      <c r="Q1794" s="1">
        <v>2</v>
      </c>
      <c r="R1794" t="s">
        <v>1272</v>
      </c>
      <c r="S1794" t="str">
        <f t="shared" si="14"/>
        <v>ok</v>
      </c>
    </row>
    <row r="1795" spans="1:19" hidden="1" x14ac:dyDescent="0.3">
      <c r="A1795" t="s">
        <v>1264</v>
      </c>
      <c r="B1795" t="s">
        <v>1265</v>
      </c>
      <c r="C1795" t="s">
        <v>1224</v>
      </c>
      <c r="D1795">
        <v>16333</v>
      </c>
      <c r="E1795" t="s">
        <v>956</v>
      </c>
      <c r="F1795" t="s">
        <v>155</v>
      </c>
      <c r="G1795" t="s">
        <v>156</v>
      </c>
      <c r="H1795" t="s">
        <v>957</v>
      </c>
      <c r="I1795" t="s">
        <v>31</v>
      </c>
      <c r="J1795">
        <v>753</v>
      </c>
      <c r="K1795" t="s">
        <v>958</v>
      </c>
      <c r="N1795">
        <v>9</v>
      </c>
      <c r="O1795">
        <v>0.35099999999999998</v>
      </c>
      <c r="P1795" t="s">
        <v>38</v>
      </c>
      <c r="Q1795" s="1">
        <v>0</v>
      </c>
      <c r="R1795" t="s">
        <v>1272</v>
      </c>
      <c r="S1795" t="str">
        <f t="shared" si="14"/>
        <v>ko hợp</v>
      </c>
    </row>
    <row r="1796" spans="1:19" hidden="1" x14ac:dyDescent="0.3">
      <c r="A1796" t="s">
        <v>1264</v>
      </c>
      <c r="B1796" t="s">
        <v>1265</v>
      </c>
      <c r="C1796" t="s">
        <v>1224</v>
      </c>
      <c r="D1796">
        <v>12662</v>
      </c>
      <c r="E1796" t="s">
        <v>313</v>
      </c>
      <c r="F1796" t="s">
        <v>155</v>
      </c>
      <c r="G1796" t="s">
        <v>314</v>
      </c>
      <c r="H1796" t="s">
        <v>315</v>
      </c>
      <c r="I1796" t="s">
        <v>31</v>
      </c>
      <c r="J1796">
        <v>711</v>
      </c>
      <c r="K1796" t="s">
        <v>316</v>
      </c>
      <c r="N1796">
        <v>10</v>
      </c>
      <c r="O1796">
        <v>0.34970000000000001</v>
      </c>
      <c r="P1796" t="s">
        <v>38</v>
      </c>
      <c r="Q1796" s="1">
        <v>0</v>
      </c>
      <c r="R1796" t="s">
        <v>1272</v>
      </c>
      <c r="S1796" t="str">
        <f t="shared" si="14"/>
        <v>ko hợp</v>
      </c>
    </row>
    <row r="1797" spans="1:19" hidden="1" x14ac:dyDescent="0.3">
      <c r="A1797" t="s">
        <v>1264</v>
      </c>
      <c r="B1797" t="s">
        <v>1265</v>
      </c>
      <c r="C1797" t="s">
        <v>1224</v>
      </c>
      <c r="D1797">
        <v>14007</v>
      </c>
      <c r="E1797" t="s">
        <v>929</v>
      </c>
      <c r="F1797" t="s">
        <v>22</v>
      </c>
      <c r="G1797" t="s">
        <v>930</v>
      </c>
      <c r="H1797" t="s">
        <v>931</v>
      </c>
      <c r="I1797" t="s">
        <v>31</v>
      </c>
      <c r="J1797">
        <v>570</v>
      </c>
      <c r="K1797" t="s">
        <v>932</v>
      </c>
      <c r="L1797">
        <v>10</v>
      </c>
      <c r="M1797">
        <v>15.997999999999999</v>
      </c>
      <c r="P1797" t="s">
        <v>33</v>
      </c>
      <c r="Q1797" s="1">
        <v>1</v>
      </c>
      <c r="R1797" t="s">
        <v>1272</v>
      </c>
      <c r="S1797" t="str">
        <f t="shared" si="14"/>
        <v>Phù hợp 1 phần</v>
      </c>
    </row>
    <row r="1798" spans="1:19" hidden="1" x14ac:dyDescent="0.3">
      <c r="A1798" t="s">
        <v>1270</v>
      </c>
      <c r="B1798" t="s">
        <v>1271</v>
      </c>
      <c r="C1798" t="s">
        <v>1224</v>
      </c>
      <c r="D1798">
        <v>16145</v>
      </c>
      <c r="E1798" t="s">
        <v>182</v>
      </c>
      <c r="F1798" t="s">
        <v>155</v>
      </c>
      <c r="G1798" t="s">
        <v>183</v>
      </c>
      <c r="H1798" t="s">
        <v>184</v>
      </c>
      <c r="I1798" t="s">
        <v>31</v>
      </c>
      <c r="J1798">
        <v>2447</v>
      </c>
      <c r="K1798" t="s">
        <v>185</v>
      </c>
      <c r="N1798">
        <v>1</v>
      </c>
      <c r="O1798">
        <v>0.4133</v>
      </c>
      <c r="P1798" t="s">
        <v>38</v>
      </c>
      <c r="Q1798" s="1">
        <v>2</v>
      </c>
      <c r="R1798" t="s">
        <v>1272</v>
      </c>
      <c r="S1798" t="str">
        <f t="shared" si="14"/>
        <v>ok</v>
      </c>
    </row>
    <row r="1799" spans="1:19" hidden="1" x14ac:dyDescent="0.3">
      <c r="A1799" t="s">
        <v>1270</v>
      </c>
      <c r="B1799" t="s">
        <v>1271</v>
      </c>
      <c r="C1799" t="s">
        <v>1224</v>
      </c>
      <c r="D1799">
        <v>19710</v>
      </c>
      <c r="E1799" t="s">
        <v>199</v>
      </c>
      <c r="F1799" t="s">
        <v>200</v>
      </c>
      <c r="G1799" t="s">
        <v>201</v>
      </c>
      <c r="H1799" t="s">
        <v>202</v>
      </c>
      <c r="I1799" t="s">
        <v>31</v>
      </c>
      <c r="J1799">
        <v>262</v>
      </c>
      <c r="K1799" t="s">
        <v>203</v>
      </c>
      <c r="L1799">
        <v>1</v>
      </c>
      <c r="M1799">
        <v>25.384599999999999</v>
      </c>
      <c r="N1799">
        <v>7</v>
      </c>
      <c r="O1799">
        <v>0.37009999999999998</v>
      </c>
      <c r="P1799" t="s">
        <v>27</v>
      </c>
      <c r="Q1799" s="1">
        <v>0</v>
      </c>
      <c r="R1799" t="s">
        <v>1272</v>
      </c>
      <c r="S1799" t="str">
        <f t="shared" si="14"/>
        <v>ko hợp</v>
      </c>
    </row>
    <row r="1800" spans="1:19" hidden="1" x14ac:dyDescent="0.3">
      <c r="A1800" t="s">
        <v>1270</v>
      </c>
      <c r="B1800" t="s">
        <v>1271</v>
      </c>
      <c r="C1800" t="s">
        <v>1224</v>
      </c>
      <c r="D1800">
        <v>3280</v>
      </c>
      <c r="E1800" t="s">
        <v>178</v>
      </c>
      <c r="F1800" t="s">
        <v>155</v>
      </c>
      <c r="G1800" t="s">
        <v>179</v>
      </c>
      <c r="H1800" t="s">
        <v>180</v>
      </c>
      <c r="I1800" t="s">
        <v>25</v>
      </c>
      <c r="J1800">
        <v>927</v>
      </c>
      <c r="K1800" t="s">
        <v>181</v>
      </c>
      <c r="N1800">
        <v>2</v>
      </c>
      <c r="O1800">
        <v>0.40239999999999998</v>
      </c>
      <c r="P1800" t="s">
        <v>38</v>
      </c>
      <c r="Q1800" s="1">
        <v>2</v>
      </c>
      <c r="R1800" t="s">
        <v>1272</v>
      </c>
      <c r="S1800" t="str">
        <f t="shared" si="14"/>
        <v>ok</v>
      </c>
    </row>
    <row r="1801" spans="1:19" hidden="1" x14ac:dyDescent="0.3">
      <c r="A1801" t="s">
        <v>1270</v>
      </c>
      <c r="B1801" t="s">
        <v>1271</v>
      </c>
      <c r="C1801" t="s">
        <v>1224</v>
      </c>
      <c r="D1801">
        <v>20632</v>
      </c>
      <c r="E1801" t="s">
        <v>204</v>
      </c>
      <c r="F1801" t="s">
        <v>205</v>
      </c>
      <c r="G1801" t="s">
        <v>206</v>
      </c>
      <c r="H1801" t="s">
        <v>207</v>
      </c>
      <c r="I1801" t="s">
        <v>31</v>
      </c>
      <c r="J1801">
        <v>411</v>
      </c>
      <c r="K1801" t="s">
        <v>208</v>
      </c>
      <c r="L1801">
        <v>2</v>
      </c>
      <c r="M1801">
        <v>20.082899999999999</v>
      </c>
      <c r="P1801" t="s">
        <v>33</v>
      </c>
      <c r="Q1801" s="1">
        <v>0</v>
      </c>
      <c r="R1801" t="s">
        <v>1272</v>
      </c>
      <c r="S1801" t="str">
        <f t="shared" si="14"/>
        <v>ko hợp</v>
      </c>
    </row>
    <row r="1802" spans="1:19" hidden="1" x14ac:dyDescent="0.3">
      <c r="A1802" t="s">
        <v>1270</v>
      </c>
      <c r="B1802" t="s">
        <v>1271</v>
      </c>
      <c r="C1802" t="s">
        <v>1224</v>
      </c>
      <c r="D1802">
        <v>17792</v>
      </c>
      <c r="E1802" t="s">
        <v>229</v>
      </c>
      <c r="F1802" t="s">
        <v>230</v>
      </c>
      <c r="G1802" t="s">
        <v>231</v>
      </c>
      <c r="H1802" t="s">
        <v>232</v>
      </c>
      <c r="I1802" t="s">
        <v>31</v>
      </c>
      <c r="J1802">
        <v>564</v>
      </c>
      <c r="K1802" t="s">
        <v>233</v>
      </c>
      <c r="L1802">
        <v>3</v>
      </c>
      <c r="M1802">
        <v>16.714500000000001</v>
      </c>
      <c r="P1802" t="s">
        <v>33</v>
      </c>
      <c r="Q1802" s="1">
        <v>0</v>
      </c>
      <c r="R1802" t="s">
        <v>1272</v>
      </c>
      <c r="S1802" t="str">
        <f t="shared" si="14"/>
        <v>ko hợp</v>
      </c>
    </row>
    <row r="1803" spans="1:19" hidden="1" x14ac:dyDescent="0.3">
      <c r="A1803" t="s">
        <v>1270</v>
      </c>
      <c r="B1803" t="s">
        <v>1271</v>
      </c>
      <c r="C1803" t="s">
        <v>1224</v>
      </c>
      <c r="D1803">
        <v>20799</v>
      </c>
      <c r="E1803" t="s">
        <v>493</v>
      </c>
      <c r="F1803" t="s">
        <v>494</v>
      </c>
      <c r="G1803" t="s">
        <v>495</v>
      </c>
      <c r="H1803" t="s">
        <v>496</v>
      </c>
      <c r="I1803" t="s">
        <v>25</v>
      </c>
      <c r="J1803">
        <v>575</v>
      </c>
      <c r="K1803" t="s">
        <v>497</v>
      </c>
      <c r="N1803">
        <v>3</v>
      </c>
      <c r="O1803">
        <v>0.3992</v>
      </c>
      <c r="P1803" t="s">
        <v>38</v>
      </c>
      <c r="Q1803" s="1">
        <v>0</v>
      </c>
      <c r="R1803" t="s">
        <v>1272</v>
      </c>
      <c r="S1803" t="str">
        <f t="shared" si="14"/>
        <v>ko hợp</v>
      </c>
    </row>
    <row r="1804" spans="1:19" hidden="1" x14ac:dyDescent="0.3">
      <c r="A1804" t="s">
        <v>1270</v>
      </c>
      <c r="B1804" t="s">
        <v>1271</v>
      </c>
      <c r="C1804" t="s">
        <v>1224</v>
      </c>
      <c r="D1804">
        <v>8524</v>
      </c>
      <c r="E1804" t="s">
        <v>676</v>
      </c>
      <c r="F1804" t="s">
        <v>668</v>
      </c>
      <c r="G1804" t="s">
        <v>677</v>
      </c>
      <c r="H1804" t="s">
        <v>678</v>
      </c>
      <c r="I1804" t="s">
        <v>25</v>
      </c>
      <c r="J1804">
        <v>226</v>
      </c>
      <c r="K1804" t="s">
        <v>679</v>
      </c>
      <c r="L1804">
        <v>4</v>
      </c>
      <c r="M1804">
        <v>16.707599999999999</v>
      </c>
      <c r="P1804" t="s">
        <v>33</v>
      </c>
      <c r="Q1804" s="1">
        <v>0</v>
      </c>
      <c r="R1804" t="s">
        <v>1272</v>
      </c>
      <c r="S1804" t="str">
        <f t="shared" si="14"/>
        <v>ko hợp</v>
      </c>
    </row>
    <row r="1805" spans="1:19" hidden="1" x14ac:dyDescent="0.3">
      <c r="A1805" t="s">
        <v>1270</v>
      </c>
      <c r="B1805" t="s">
        <v>1271</v>
      </c>
      <c r="C1805" t="s">
        <v>1224</v>
      </c>
      <c r="D1805">
        <v>20532</v>
      </c>
      <c r="E1805" t="s">
        <v>221</v>
      </c>
      <c r="F1805" t="s">
        <v>222</v>
      </c>
      <c r="G1805" t="s">
        <v>41</v>
      </c>
      <c r="H1805" t="s">
        <v>223</v>
      </c>
      <c r="I1805" t="s">
        <v>25</v>
      </c>
      <c r="J1805">
        <v>1105</v>
      </c>
      <c r="K1805" t="s">
        <v>224</v>
      </c>
      <c r="L1805">
        <v>10</v>
      </c>
      <c r="M1805">
        <v>14.568899999999999</v>
      </c>
      <c r="N1805">
        <v>4</v>
      </c>
      <c r="O1805">
        <v>0.38129999999999997</v>
      </c>
      <c r="P1805" t="s">
        <v>27</v>
      </c>
      <c r="Q1805" s="1">
        <v>2</v>
      </c>
      <c r="R1805" t="s">
        <v>1272</v>
      </c>
      <c r="S1805" t="str">
        <f t="shared" ref="S1805:S1814" si="15">IF(Q1805=2,"ok",IF(Q1805=1,"Phù hợp 1 phần", "ko hợp"))</f>
        <v>ok</v>
      </c>
    </row>
    <row r="1806" spans="1:19" hidden="1" x14ac:dyDescent="0.3">
      <c r="A1806" t="s">
        <v>1270</v>
      </c>
      <c r="B1806" t="s">
        <v>1271</v>
      </c>
      <c r="C1806" t="s">
        <v>1224</v>
      </c>
      <c r="D1806">
        <v>20185</v>
      </c>
      <c r="E1806" t="s">
        <v>885</v>
      </c>
      <c r="F1806" t="s">
        <v>842</v>
      </c>
      <c r="G1806" t="s">
        <v>886</v>
      </c>
      <c r="H1806" t="s">
        <v>887</v>
      </c>
      <c r="I1806" t="s">
        <v>31</v>
      </c>
      <c r="J1806">
        <v>674</v>
      </c>
      <c r="K1806" t="s">
        <v>888</v>
      </c>
      <c r="L1806">
        <v>5</v>
      </c>
      <c r="M1806">
        <v>15.664199999999999</v>
      </c>
      <c r="P1806" t="s">
        <v>33</v>
      </c>
      <c r="Q1806" s="1">
        <v>2</v>
      </c>
      <c r="R1806" t="s">
        <v>1272</v>
      </c>
      <c r="S1806" t="str">
        <f t="shared" si="15"/>
        <v>ok</v>
      </c>
    </row>
    <row r="1807" spans="1:19" hidden="1" x14ac:dyDescent="0.3">
      <c r="A1807" t="s">
        <v>1270</v>
      </c>
      <c r="B1807" t="s">
        <v>1271</v>
      </c>
      <c r="C1807" t="s">
        <v>1224</v>
      </c>
      <c r="D1807">
        <v>20777</v>
      </c>
      <c r="E1807" t="s">
        <v>174</v>
      </c>
      <c r="F1807" t="s">
        <v>155</v>
      </c>
      <c r="G1807" t="s">
        <v>175</v>
      </c>
      <c r="H1807" t="s">
        <v>176</v>
      </c>
      <c r="I1807" t="s">
        <v>31</v>
      </c>
      <c r="J1807">
        <v>384</v>
      </c>
      <c r="K1807" t="s">
        <v>177</v>
      </c>
      <c r="N1807">
        <v>5</v>
      </c>
      <c r="O1807">
        <v>0.38030000000000003</v>
      </c>
      <c r="P1807" t="s">
        <v>38</v>
      </c>
      <c r="Q1807" s="1">
        <v>2</v>
      </c>
      <c r="R1807" t="s">
        <v>1272</v>
      </c>
      <c r="S1807" t="str">
        <f t="shared" si="15"/>
        <v>ok</v>
      </c>
    </row>
    <row r="1808" spans="1:19" hidden="1" x14ac:dyDescent="0.3">
      <c r="A1808" t="s">
        <v>1270</v>
      </c>
      <c r="B1808" t="s">
        <v>1271</v>
      </c>
      <c r="C1808" t="s">
        <v>1224</v>
      </c>
      <c r="D1808">
        <v>16756</v>
      </c>
      <c r="E1808" t="s">
        <v>764</v>
      </c>
      <c r="F1808" t="s">
        <v>155</v>
      </c>
      <c r="G1808" t="s">
        <v>235</v>
      </c>
      <c r="H1808" t="s">
        <v>765</v>
      </c>
      <c r="I1808" t="s">
        <v>25</v>
      </c>
      <c r="J1808">
        <v>344</v>
      </c>
      <c r="K1808" t="s">
        <v>766</v>
      </c>
      <c r="L1808">
        <v>8</v>
      </c>
      <c r="M1808">
        <v>14.975199999999999</v>
      </c>
      <c r="N1808">
        <v>6</v>
      </c>
      <c r="O1808">
        <v>0.37619999999999998</v>
      </c>
      <c r="P1808" t="s">
        <v>27</v>
      </c>
      <c r="Q1808" s="1">
        <v>2</v>
      </c>
      <c r="R1808" t="s">
        <v>1272</v>
      </c>
      <c r="S1808" t="str">
        <f t="shared" si="15"/>
        <v>ok</v>
      </c>
    </row>
    <row r="1809" spans="1:19" hidden="1" x14ac:dyDescent="0.3">
      <c r="A1809" t="s">
        <v>1270</v>
      </c>
      <c r="B1809" t="s">
        <v>1271</v>
      </c>
      <c r="C1809" t="s">
        <v>1224</v>
      </c>
      <c r="D1809">
        <v>19735</v>
      </c>
      <c r="E1809" t="s">
        <v>827</v>
      </c>
      <c r="F1809" t="s">
        <v>828</v>
      </c>
      <c r="G1809" t="s">
        <v>829</v>
      </c>
      <c r="H1809" t="s">
        <v>830</v>
      </c>
      <c r="I1809" t="s">
        <v>25</v>
      </c>
      <c r="J1809">
        <v>559</v>
      </c>
      <c r="K1809" t="s">
        <v>831</v>
      </c>
      <c r="L1809">
        <v>6</v>
      </c>
      <c r="M1809">
        <v>15.088699999999999</v>
      </c>
      <c r="P1809" t="s">
        <v>33</v>
      </c>
      <c r="Q1809" s="1">
        <v>0</v>
      </c>
      <c r="R1809" t="s">
        <v>1272</v>
      </c>
      <c r="S1809" t="str">
        <f t="shared" si="15"/>
        <v>ko hợp</v>
      </c>
    </row>
    <row r="1810" spans="1:19" hidden="1" x14ac:dyDescent="0.3">
      <c r="A1810" t="s">
        <v>1270</v>
      </c>
      <c r="B1810" t="s">
        <v>1271</v>
      </c>
      <c r="C1810" t="s">
        <v>1224</v>
      </c>
      <c r="D1810">
        <v>541</v>
      </c>
      <c r="E1810" t="s">
        <v>170</v>
      </c>
      <c r="F1810" t="s">
        <v>155</v>
      </c>
      <c r="G1810" t="s">
        <v>171</v>
      </c>
      <c r="H1810" t="s">
        <v>172</v>
      </c>
      <c r="I1810" t="s">
        <v>25</v>
      </c>
      <c r="J1810">
        <v>738</v>
      </c>
      <c r="K1810" t="s">
        <v>173</v>
      </c>
      <c r="L1810">
        <v>7</v>
      </c>
      <c r="M1810">
        <v>14.987399999999999</v>
      </c>
      <c r="P1810" t="s">
        <v>33</v>
      </c>
      <c r="Q1810" s="1">
        <v>0</v>
      </c>
      <c r="R1810" t="s">
        <v>1272</v>
      </c>
      <c r="S1810" t="str">
        <f t="shared" si="15"/>
        <v>ko hợp</v>
      </c>
    </row>
    <row r="1811" spans="1:19" hidden="1" x14ac:dyDescent="0.3">
      <c r="A1811" t="s">
        <v>1270</v>
      </c>
      <c r="B1811" t="s">
        <v>1271</v>
      </c>
      <c r="C1811" t="s">
        <v>1224</v>
      </c>
      <c r="D1811">
        <v>17487</v>
      </c>
      <c r="E1811" t="s">
        <v>641</v>
      </c>
      <c r="F1811" t="s">
        <v>155</v>
      </c>
      <c r="G1811" t="s">
        <v>642</v>
      </c>
      <c r="H1811" t="s">
        <v>643</v>
      </c>
      <c r="I1811" t="s">
        <v>25</v>
      </c>
      <c r="J1811">
        <v>827</v>
      </c>
      <c r="K1811" t="s">
        <v>644</v>
      </c>
      <c r="N1811">
        <v>8</v>
      </c>
      <c r="O1811">
        <v>0.36209999999999998</v>
      </c>
      <c r="P1811" t="s">
        <v>38</v>
      </c>
      <c r="Q1811" s="1">
        <v>2</v>
      </c>
      <c r="R1811" t="s">
        <v>1272</v>
      </c>
      <c r="S1811" t="str">
        <f t="shared" si="15"/>
        <v>ok</v>
      </c>
    </row>
    <row r="1812" spans="1:19" hidden="1" x14ac:dyDescent="0.3">
      <c r="A1812" t="s">
        <v>1270</v>
      </c>
      <c r="B1812" t="s">
        <v>1271</v>
      </c>
      <c r="C1812" t="s">
        <v>1224</v>
      </c>
      <c r="D1812">
        <v>17649</v>
      </c>
      <c r="E1812" t="s">
        <v>209</v>
      </c>
      <c r="F1812" t="s">
        <v>155</v>
      </c>
      <c r="G1812" t="s">
        <v>210</v>
      </c>
      <c r="H1812" t="s">
        <v>211</v>
      </c>
      <c r="I1812" t="s">
        <v>31</v>
      </c>
      <c r="J1812">
        <v>471</v>
      </c>
      <c r="K1812" t="s">
        <v>212</v>
      </c>
      <c r="L1812">
        <v>9</v>
      </c>
      <c r="M1812">
        <v>14.7285</v>
      </c>
      <c r="P1812" t="s">
        <v>33</v>
      </c>
      <c r="Q1812" s="1">
        <v>2</v>
      </c>
      <c r="R1812" t="s">
        <v>1272</v>
      </c>
      <c r="S1812" t="str">
        <f t="shared" si="15"/>
        <v>ok</v>
      </c>
    </row>
    <row r="1813" spans="1:19" hidden="1" x14ac:dyDescent="0.3">
      <c r="A1813" t="s">
        <v>1270</v>
      </c>
      <c r="B1813" t="s">
        <v>1271</v>
      </c>
      <c r="C1813" t="s">
        <v>1224</v>
      </c>
      <c r="D1813">
        <v>18831</v>
      </c>
      <c r="E1813" t="s">
        <v>841</v>
      </c>
      <c r="F1813" t="s">
        <v>842</v>
      </c>
      <c r="G1813" t="s">
        <v>41</v>
      </c>
      <c r="H1813" t="s">
        <v>843</v>
      </c>
      <c r="I1813" t="s">
        <v>31</v>
      </c>
      <c r="J1813">
        <v>565</v>
      </c>
      <c r="K1813" t="s">
        <v>844</v>
      </c>
      <c r="N1813">
        <v>9</v>
      </c>
      <c r="O1813">
        <v>0.35770000000000002</v>
      </c>
      <c r="P1813" t="s">
        <v>38</v>
      </c>
      <c r="Q1813" s="1">
        <v>2</v>
      </c>
      <c r="R1813" t="s">
        <v>1272</v>
      </c>
      <c r="S1813" t="str">
        <f t="shared" si="15"/>
        <v>ok</v>
      </c>
    </row>
    <row r="1814" spans="1:19" hidden="1" x14ac:dyDescent="0.3">
      <c r="A1814" t="s">
        <v>1270</v>
      </c>
      <c r="B1814" t="s">
        <v>1271</v>
      </c>
      <c r="C1814" t="s">
        <v>1224</v>
      </c>
      <c r="D1814">
        <v>19019</v>
      </c>
      <c r="E1814" t="s">
        <v>296</v>
      </c>
      <c r="F1814" t="s">
        <v>297</v>
      </c>
      <c r="G1814" t="s">
        <v>298</v>
      </c>
      <c r="H1814" t="s">
        <v>299</v>
      </c>
      <c r="I1814" t="s">
        <v>25</v>
      </c>
      <c r="J1814">
        <v>999</v>
      </c>
      <c r="K1814" t="s">
        <v>300</v>
      </c>
      <c r="N1814">
        <v>10</v>
      </c>
      <c r="O1814">
        <v>0.35349999999999998</v>
      </c>
      <c r="P1814" t="s">
        <v>38</v>
      </c>
      <c r="Q1814" s="1">
        <v>0</v>
      </c>
      <c r="R1814" t="s">
        <v>1272</v>
      </c>
      <c r="S1814" t="str">
        <f t="shared" si="15"/>
        <v>ko hợp</v>
      </c>
    </row>
  </sheetData>
  <autoFilter ref="A1:A1814" xr:uid="{00000000-0001-0000-0000-000000000000}">
    <filterColumn colId="0">
      <filters>
        <filter val="Q077"/>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Chau</dc:creator>
  <cp:lastModifiedBy>Châu Nguyễn Minh</cp:lastModifiedBy>
  <dcterms:created xsi:type="dcterms:W3CDTF">2015-06-05T18:17:20Z</dcterms:created>
  <dcterms:modified xsi:type="dcterms:W3CDTF">2026-08-27T08:38:37Z</dcterms:modified>
</cp:coreProperties>
</file>